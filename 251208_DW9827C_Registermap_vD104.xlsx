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itHub\DW9827C\"/>
    </mc:Choice>
  </mc:AlternateContent>
  <bookViews>
    <workbookView showHorizontalScroll="0" showVerticalScroll="0" xWindow="0" yWindow="0" windowWidth="28800" windowHeight="11805" activeTab="2"/>
  </bookViews>
  <sheets>
    <sheet name="REG_BANK_0" sheetId="2" r:id="rId1"/>
    <sheet name="REG_BANK_1" sheetId="3" r:id="rId2"/>
    <sheet name="REG_BANK_2" sheetId="9" r:id="rId3"/>
    <sheet name="REG_BANK_3" sheetId="5" r:id="rId4"/>
    <sheet name="ACU" sheetId="6" state="hidden" r:id="rId5"/>
    <sheet name="Sheet1" sheetId="8" state="hidden" r:id="rId6"/>
  </sheets>
  <calcPr calcId="162913"/>
</workbook>
</file>

<file path=xl/calcChain.xml><?xml version="1.0" encoding="utf-8"?>
<calcChain xmlns="http://schemas.openxmlformats.org/spreadsheetml/2006/main">
  <c r="R9" i="5" l="1"/>
  <c r="R10" i="5" s="1"/>
  <c r="B10" i="5" s="1"/>
  <c r="B9" i="5"/>
  <c r="B8" i="5"/>
  <c r="R9" i="9"/>
  <c r="R10" i="9" s="1"/>
  <c r="B8" i="9"/>
  <c r="R9" i="3"/>
  <c r="R10" i="3" s="1"/>
  <c r="B8" i="3"/>
  <c r="R9" i="2"/>
  <c r="R10" i="2" s="1"/>
  <c r="B8" i="2"/>
  <c r="B9" i="9" l="1"/>
  <c r="B9" i="3"/>
  <c r="R11" i="5"/>
  <c r="B10" i="9"/>
  <c r="R11" i="9"/>
  <c r="R11" i="3"/>
  <c r="B10" i="3"/>
  <c r="B10" i="2"/>
  <c r="R12" i="2"/>
  <c r="B9" i="2"/>
  <c r="B11" i="5" l="1"/>
  <c r="R12" i="5"/>
  <c r="B11" i="9"/>
  <c r="R12" i="9"/>
  <c r="R12" i="3"/>
  <c r="B11" i="3"/>
  <c r="R14" i="2"/>
  <c r="R16" i="2" s="1"/>
  <c r="B12" i="2"/>
  <c r="R13" i="5" l="1"/>
  <c r="B12" i="5"/>
  <c r="B12" i="9"/>
  <c r="R13" i="9"/>
  <c r="R13" i="3"/>
  <c r="B12" i="3"/>
  <c r="R17" i="2"/>
  <c r="B16" i="2"/>
  <c r="R14" i="5" l="1"/>
  <c r="B13" i="5"/>
  <c r="R14" i="9"/>
  <c r="B13" i="9"/>
  <c r="R14" i="3"/>
  <c r="B13" i="3"/>
  <c r="B17" i="2"/>
  <c r="R18" i="2"/>
  <c r="B14" i="5" l="1"/>
  <c r="R15" i="5"/>
  <c r="R15" i="9"/>
  <c r="B14" i="9"/>
  <c r="R15" i="3"/>
  <c r="B14" i="3"/>
  <c r="B18" i="2"/>
  <c r="R19" i="2"/>
  <c r="R16" i="5" l="1"/>
  <c r="B15" i="5"/>
  <c r="B15" i="9"/>
  <c r="R16" i="9"/>
  <c r="B15" i="3"/>
  <c r="R16" i="3"/>
  <c r="R20" i="2"/>
  <c r="B19" i="2"/>
  <c r="R17" i="5" l="1"/>
  <c r="B16" i="5"/>
  <c r="R17" i="9"/>
  <c r="B16" i="9"/>
  <c r="B16" i="3"/>
  <c r="R17" i="3"/>
  <c r="R21" i="2"/>
  <c r="B20" i="2"/>
  <c r="R18" i="5" l="1"/>
  <c r="B17" i="5"/>
  <c r="B17" i="9"/>
  <c r="R18" i="9"/>
  <c r="R18" i="3"/>
  <c r="B17" i="3"/>
  <c r="B21" i="2"/>
  <c r="R22" i="2"/>
  <c r="B18" i="5" l="1"/>
  <c r="R19" i="5"/>
  <c r="B18" i="9"/>
  <c r="R19" i="9"/>
  <c r="R19" i="3"/>
  <c r="B18" i="3"/>
  <c r="B22" i="2"/>
  <c r="R23" i="2"/>
  <c r="B19" i="5" l="1"/>
  <c r="R20" i="5"/>
  <c r="B19" i="9"/>
  <c r="R20" i="9"/>
  <c r="B19" i="3"/>
  <c r="R20" i="3"/>
  <c r="R24" i="2"/>
  <c r="B23" i="2"/>
  <c r="R21" i="5" l="1"/>
  <c r="B20" i="5"/>
  <c r="R21" i="9"/>
  <c r="B20" i="9"/>
  <c r="R21" i="3"/>
  <c r="B20" i="3"/>
  <c r="R25" i="2"/>
  <c r="B24" i="2"/>
  <c r="R22" i="5" l="1"/>
  <c r="B21" i="5"/>
  <c r="R22" i="9"/>
  <c r="B21" i="9"/>
  <c r="R22" i="3"/>
  <c r="B21" i="3"/>
  <c r="B25" i="2"/>
  <c r="R26" i="2"/>
  <c r="B22" i="5" l="1"/>
  <c r="R23" i="5"/>
  <c r="B22" i="9"/>
  <c r="R23" i="9"/>
  <c r="R23" i="3"/>
  <c r="B22" i="3"/>
  <c r="B26" i="2"/>
  <c r="R27" i="2"/>
  <c r="R24" i="5" l="1"/>
  <c r="B23" i="5"/>
  <c r="B23" i="9"/>
  <c r="R24" i="9"/>
  <c r="B23" i="3"/>
  <c r="R24" i="3"/>
  <c r="R28" i="2"/>
  <c r="B27" i="2"/>
  <c r="R26" i="5" l="1"/>
  <c r="B24" i="5"/>
  <c r="R25" i="9"/>
  <c r="B24" i="9"/>
  <c r="B24" i="3"/>
  <c r="R25" i="3"/>
  <c r="R29" i="2"/>
  <c r="B28" i="2"/>
  <c r="R27" i="5" l="1"/>
  <c r="B26" i="5"/>
  <c r="R26" i="9"/>
  <c r="B25" i="9"/>
  <c r="R26" i="3"/>
  <c r="B25" i="3"/>
  <c r="B29" i="2"/>
  <c r="R30" i="2"/>
  <c r="B27" i="5" l="1"/>
  <c r="R28" i="5"/>
  <c r="R27" i="9"/>
  <c r="B26" i="9"/>
  <c r="R27" i="3"/>
  <c r="B26" i="3"/>
  <c r="B30" i="2"/>
  <c r="R31" i="2"/>
  <c r="R29" i="5" l="1"/>
  <c r="B28" i="5"/>
  <c r="B27" i="9"/>
  <c r="R28" i="9"/>
  <c r="B27" i="3"/>
  <c r="R28" i="3"/>
  <c r="R32" i="2"/>
  <c r="B31" i="2"/>
  <c r="R30" i="5" l="1"/>
  <c r="B29" i="5"/>
  <c r="B28" i="9"/>
  <c r="R29" i="9"/>
  <c r="B28" i="3"/>
  <c r="R29" i="3"/>
  <c r="R33" i="2"/>
  <c r="B32" i="2"/>
  <c r="R31" i="5" l="1"/>
  <c r="B30" i="5"/>
  <c r="R30" i="9"/>
  <c r="B29" i="9"/>
  <c r="R30" i="3"/>
  <c r="B29" i="3"/>
  <c r="R34" i="2"/>
  <c r="B33" i="2"/>
  <c r="B31" i="5" l="1"/>
  <c r="R32" i="5"/>
  <c r="B30" i="9"/>
  <c r="R31" i="9"/>
  <c r="R31" i="3"/>
  <c r="B30" i="3"/>
  <c r="B34" i="2"/>
  <c r="R35" i="2"/>
  <c r="R33" i="5" l="1"/>
  <c r="B32" i="5"/>
  <c r="B31" i="9"/>
  <c r="R32" i="9"/>
  <c r="B31" i="3"/>
  <c r="R32" i="3"/>
  <c r="R36" i="2"/>
  <c r="B35" i="2"/>
  <c r="R34" i="5" l="1"/>
  <c r="B33" i="5"/>
  <c r="R33" i="9"/>
  <c r="B32" i="9"/>
  <c r="R33" i="3"/>
  <c r="B32" i="3"/>
  <c r="R37" i="2"/>
  <c r="B36" i="2"/>
  <c r="R35" i="5" l="1"/>
  <c r="B34" i="5"/>
  <c r="R34" i="9"/>
  <c r="B33" i="9"/>
  <c r="R34" i="3"/>
  <c r="B33" i="3"/>
  <c r="B37" i="2"/>
  <c r="R38" i="2"/>
  <c r="B35" i="5" l="1"/>
  <c r="R36" i="5"/>
  <c r="B34" i="9"/>
  <c r="R35" i="9"/>
  <c r="R35" i="3"/>
  <c r="B34" i="3"/>
  <c r="B38" i="2"/>
  <c r="R39" i="2"/>
  <c r="R37" i="5" l="1"/>
  <c r="B36" i="5"/>
  <c r="B35" i="9"/>
  <c r="R36" i="9"/>
  <c r="B35" i="3"/>
  <c r="R36" i="3"/>
  <c r="R40" i="2"/>
  <c r="B39" i="2"/>
  <c r="R38" i="5" l="1"/>
  <c r="B37" i="5"/>
  <c r="R37" i="9"/>
  <c r="B36" i="9"/>
  <c r="R37" i="3"/>
  <c r="B36" i="3"/>
  <c r="R41" i="2"/>
  <c r="B40" i="2"/>
  <c r="R39" i="5" l="1"/>
  <c r="B38" i="5"/>
  <c r="R38" i="9"/>
  <c r="B37" i="9"/>
  <c r="R38" i="3"/>
  <c r="B37" i="3"/>
  <c r="B41" i="2"/>
  <c r="R42" i="2"/>
  <c r="B39" i="5" l="1"/>
  <c r="R40" i="5"/>
  <c r="R41" i="5" s="1"/>
  <c r="B38" i="9"/>
  <c r="R39" i="9"/>
  <c r="R39" i="3"/>
  <c r="B38" i="3"/>
  <c r="B42" i="2"/>
  <c r="R43" i="2"/>
  <c r="B41" i="5" l="1"/>
  <c r="R42" i="5"/>
  <c r="B39" i="9"/>
  <c r="R40" i="9"/>
  <c r="B39" i="3"/>
  <c r="R40" i="3"/>
  <c r="R44" i="2"/>
  <c r="B43" i="2"/>
  <c r="R43" i="5" l="1"/>
  <c r="B42" i="5"/>
  <c r="B40" i="9"/>
  <c r="R41" i="9"/>
  <c r="B40" i="3"/>
  <c r="R41" i="3"/>
  <c r="R45" i="2"/>
  <c r="B44" i="2"/>
  <c r="B43" i="5" l="1"/>
  <c r="R44" i="5"/>
  <c r="R42" i="9"/>
  <c r="B41" i="9"/>
  <c r="R42" i="3"/>
  <c r="B41" i="3"/>
  <c r="B45" i="2"/>
  <c r="R46" i="2"/>
  <c r="B44" i="5" l="1"/>
  <c r="R45" i="5"/>
  <c r="B42" i="9"/>
  <c r="R43" i="9"/>
  <c r="R43" i="3"/>
  <c r="B42" i="3"/>
  <c r="B46" i="2"/>
  <c r="R47" i="2"/>
  <c r="R46" i="5" l="1"/>
  <c r="B45" i="5"/>
  <c r="B43" i="9"/>
  <c r="R44" i="9"/>
  <c r="B43" i="3"/>
  <c r="R44" i="3"/>
  <c r="R48" i="2"/>
  <c r="B47" i="2"/>
  <c r="R47" i="5" l="1"/>
  <c r="B46" i="5"/>
  <c r="R45" i="9"/>
  <c r="B44" i="9"/>
  <c r="B44" i="3"/>
  <c r="R45" i="3"/>
  <c r="R49" i="2"/>
  <c r="B48" i="2"/>
  <c r="B47" i="5" l="1"/>
  <c r="R48" i="5"/>
  <c r="R46" i="9"/>
  <c r="B45" i="9"/>
  <c r="R46" i="3"/>
  <c r="B45" i="3"/>
  <c r="B49" i="2"/>
  <c r="R50" i="2"/>
  <c r="B48" i="5" l="1"/>
  <c r="R49" i="5"/>
  <c r="R47" i="9"/>
  <c r="B46" i="9"/>
  <c r="R47" i="3"/>
  <c r="B46" i="3"/>
  <c r="B50" i="2"/>
  <c r="R51" i="2"/>
  <c r="R50" i="5" l="1"/>
  <c r="B49" i="5"/>
  <c r="B47" i="9"/>
  <c r="R48" i="9"/>
  <c r="B47" i="3"/>
  <c r="R48" i="3"/>
  <c r="R52" i="2"/>
  <c r="B51" i="2"/>
  <c r="R51" i="5" l="1"/>
  <c r="B50" i="5"/>
  <c r="R49" i="9"/>
  <c r="B48" i="9"/>
  <c r="R49" i="3"/>
  <c r="B48" i="3"/>
  <c r="R53" i="2"/>
  <c r="B52" i="2"/>
  <c r="B51" i="5" l="1"/>
  <c r="R52" i="5"/>
  <c r="R50" i="9"/>
  <c r="B49" i="9"/>
  <c r="R50" i="3"/>
  <c r="B49" i="3"/>
  <c r="B53" i="2"/>
  <c r="R54" i="2"/>
  <c r="B52" i="5" l="1"/>
  <c r="R53" i="5"/>
  <c r="B50" i="9"/>
  <c r="R51" i="9"/>
  <c r="R51" i="3"/>
  <c r="B50" i="3"/>
  <c r="B54" i="2"/>
  <c r="R55" i="2"/>
  <c r="R54" i="5" l="1"/>
  <c r="B53" i="5"/>
  <c r="B51" i="9"/>
  <c r="R52" i="9"/>
  <c r="B51" i="3"/>
  <c r="R52" i="3"/>
  <c r="R56" i="2"/>
  <c r="B55" i="2"/>
  <c r="R55" i="5" l="1"/>
  <c r="B54" i="5"/>
  <c r="B52" i="9"/>
  <c r="R53" i="9"/>
  <c r="B52" i="3"/>
  <c r="R53" i="3"/>
  <c r="R57" i="2"/>
  <c r="B56" i="2"/>
  <c r="B55" i="5" l="1"/>
  <c r="R56" i="5"/>
  <c r="R54" i="9"/>
  <c r="B53" i="9"/>
  <c r="R54" i="3"/>
  <c r="B53" i="3"/>
  <c r="B57" i="2"/>
  <c r="R58" i="2"/>
  <c r="B56" i="5" l="1"/>
  <c r="R57" i="5"/>
  <c r="R58" i="5" s="1"/>
  <c r="R55" i="9"/>
  <c r="B54" i="9"/>
  <c r="R55" i="3"/>
  <c r="B54" i="3"/>
  <c r="B58" i="2"/>
  <c r="R59" i="2"/>
  <c r="R59" i="5" l="1"/>
  <c r="B58" i="5"/>
  <c r="B55" i="9"/>
  <c r="R56" i="9"/>
  <c r="B55" i="3"/>
  <c r="R56" i="3"/>
  <c r="R60" i="2"/>
  <c r="B59" i="2"/>
  <c r="R60" i="5" l="1"/>
  <c r="B59" i="5"/>
  <c r="R57" i="9"/>
  <c r="B56" i="9"/>
  <c r="R57" i="3"/>
  <c r="B56" i="3"/>
  <c r="R61" i="2"/>
  <c r="B60" i="2"/>
  <c r="B60" i="5" l="1"/>
  <c r="R61" i="5"/>
  <c r="R58" i="9"/>
  <c r="B57" i="9"/>
  <c r="R58" i="3"/>
  <c r="B57" i="3"/>
  <c r="B61" i="2"/>
  <c r="R62" i="2"/>
  <c r="R62" i="5" l="1"/>
  <c r="B61" i="5"/>
  <c r="B58" i="9"/>
  <c r="R59" i="9"/>
  <c r="R59" i="3"/>
  <c r="B58" i="3"/>
  <c r="B62" i="2"/>
  <c r="R63" i="2"/>
  <c r="R63" i="5" l="1"/>
  <c r="B62" i="5"/>
  <c r="B59" i="9"/>
  <c r="R60" i="9"/>
  <c r="B59" i="3"/>
  <c r="R60" i="3"/>
  <c r="R64" i="2"/>
  <c r="B63" i="2"/>
  <c r="R64" i="5" l="1"/>
  <c r="B63" i="5"/>
  <c r="B60" i="9"/>
  <c r="R61" i="9"/>
  <c r="B60" i="3"/>
  <c r="R61" i="3"/>
  <c r="R65" i="2"/>
  <c r="B64" i="2"/>
  <c r="B64" i="5" l="1"/>
  <c r="R65" i="5"/>
  <c r="R62" i="9"/>
  <c r="B61" i="9"/>
  <c r="R62" i="3"/>
  <c r="B61" i="3"/>
  <c r="R66" i="2"/>
  <c r="B65" i="2"/>
  <c r="B65" i="5" l="1"/>
  <c r="R66" i="5"/>
  <c r="B62" i="9"/>
  <c r="R63" i="9"/>
  <c r="R63" i="3"/>
  <c r="B62" i="3"/>
  <c r="B66" i="2"/>
  <c r="R67" i="2"/>
  <c r="R67" i="5" l="1"/>
  <c r="B66" i="5"/>
  <c r="B63" i="9"/>
  <c r="R64" i="9"/>
  <c r="B63" i="3"/>
  <c r="R64" i="3"/>
  <c r="R68" i="2"/>
  <c r="B67" i="2"/>
  <c r="R68" i="5" l="1"/>
  <c r="B67" i="5"/>
  <c r="R65" i="9"/>
  <c r="R66" i="9" s="1"/>
  <c r="B64" i="9"/>
  <c r="B64" i="3"/>
  <c r="R65" i="3"/>
  <c r="R69" i="2"/>
  <c r="B68" i="2"/>
  <c r="B68" i="5" l="1"/>
  <c r="R69" i="5"/>
  <c r="R67" i="9"/>
  <c r="B66" i="9"/>
  <c r="R66" i="3"/>
  <c r="B65" i="3"/>
  <c r="B69" i="2"/>
  <c r="R70" i="2"/>
  <c r="R70" i="5" l="1"/>
  <c r="B69" i="5"/>
  <c r="B67" i="9"/>
  <c r="R68" i="9"/>
  <c r="R67" i="3"/>
  <c r="B66" i="3"/>
  <c r="B70" i="2"/>
  <c r="R71" i="2"/>
  <c r="R71" i="5" l="1"/>
  <c r="B70" i="5"/>
  <c r="R69" i="9"/>
  <c r="B68" i="9"/>
  <c r="B67" i="3"/>
  <c r="R68" i="3"/>
  <c r="R72" i="2"/>
  <c r="B71" i="2"/>
  <c r="R72" i="5" l="1"/>
  <c r="B72" i="5" s="1"/>
  <c r="B71" i="5"/>
  <c r="R70" i="9"/>
  <c r="B69" i="9"/>
  <c r="R69" i="3"/>
  <c r="B68" i="3"/>
  <c r="R73" i="2"/>
  <c r="B72" i="2"/>
  <c r="R71" i="9" l="1"/>
  <c r="B71" i="9" s="1"/>
  <c r="B70" i="9"/>
  <c r="R70" i="3"/>
  <c r="B69" i="3"/>
  <c r="B73" i="2"/>
  <c r="R74" i="2"/>
  <c r="B74" i="2" s="1"/>
  <c r="R71" i="3" l="1"/>
  <c r="B71" i="3" s="1"/>
  <c r="B70" i="3"/>
  <c r="C17" i="8" l="1"/>
  <c r="D17" i="8" s="1"/>
  <c r="E17" i="8" s="1"/>
  <c r="F17" i="8" s="1"/>
  <c r="G17" i="8" s="1"/>
  <c r="A17" i="8"/>
  <c r="C16" i="8"/>
  <c r="D16" i="8" s="1"/>
  <c r="E16" i="8" s="1"/>
  <c r="F16" i="8" s="1"/>
  <c r="G16" i="8" s="1"/>
  <c r="A16" i="8"/>
  <c r="C15" i="8"/>
  <c r="D15" i="8" s="1"/>
  <c r="E15" i="8" s="1"/>
  <c r="F15" i="8" s="1"/>
  <c r="G15" i="8" s="1"/>
  <c r="A15" i="8"/>
  <c r="C14" i="8"/>
  <c r="D14" i="8" s="1"/>
  <c r="E14" i="8" s="1"/>
  <c r="F14" i="8" s="1"/>
  <c r="G14" i="8" s="1"/>
  <c r="A14" i="8"/>
  <c r="C13" i="8"/>
  <c r="D13" i="8" s="1"/>
  <c r="E13" i="8" s="1"/>
  <c r="F13" i="8" s="1"/>
  <c r="G13" i="8" s="1"/>
  <c r="A13" i="8"/>
  <c r="C12" i="8"/>
  <c r="D12" i="8" s="1"/>
  <c r="E12" i="8" s="1"/>
  <c r="F12" i="8" s="1"/>
  <c r="G12" i="8" s="1"/>
  <c r="A12" i="8"/>
  <c r="C11" i="8"/>
  <c r="D11" i="8" s="1"/>
  <c r="E11" i="8" s="1"/>
  <c r="F11" i="8" s="1"/>
  <c r="G11" i="8" s="1"/>
  <c r="A11" i="8"/>
  <c r="C10" i="8"/>
  <c r="D10" i="8" s="1"/>
  <c r="E10" i="8" s="1"/>
  <c r="F10" i="8" s="1"/>
  <c r="G10" i="8" s="1"/>
  <c r="A10" i="8"/>
  <c r="C9" i="8"/>
  <c r="D9" i="8" s="1"/>
  <c r="E9" i="8" s="1"/>
  <c r="F9" i="8" s="1"/>
  <c r="G9" i="8" s="1"/>
  <c r="A9" i="8"/>
  <c r="C8" i="8"/>
  <c r="D8" i="8" s="1"/>
  <c r="E8" i="8" s="1"/>
  <c r="F8" i="8" s="1"/>
  <c r="G8" i="8" s="1"/>
  <c r="A8" i="8"/>
  <c r="C7" i="8"/>
  <c r="D7" i="8" s="1"/>
  <c r="E7" i="8" s="1"/>
  <c r="F7" i="8" s="1"/>
  <c r="G7" i="8" s="1"/>
  <c r="A7" i="8"/>
  <c r="C6" i="8"/>
  <c r="D6" i="8" s="1"/>
  <c r="E6" i="8" s="1"/>
  <c r="F6" i="8" s="1"/>
  <c r="G6" i="8" s="1"/>
  <c r="I6" i="8" s="1"/>
  <c r="A6" i="8"/>
  <c r="C5" i="8"/>
  <c r="D5" i="8" s="1"/>
  <c r="E5" i="8" s="1"/>
  <c r="F5" i="8" s="1"/>
  <c r="G5" i="8" s="1"/>
  <c r="I5" i="8" s="1"/>
  <c r="A5" i="8"/>
  <c r="C4" i="8"/>
  <c r="D4" i="8" s="1"/>
  <c r="E4" i="8" s="1"/>
  <c r="F4" i="8" s="1"/>
  <c r="G4" i="8" s="1"/>
  <c r="I4" i="8" s="1"/>
  <c r="A4" i="8"/>
  <c r="C3" i="8"/>
  <c r="D3" i="8" s="1"/>
  <c r="E3" i="8" s="1"/>
  <c r="F3" i="8" s="1"/>
  <c r="G3" i="8" s="1"/>
  <c r="I3" i="8" s="1"/>
  <c r="A3" i="8"/>
  <c r="D2" i="8"/>
  <c r="E2" i="8" s="1"/>
  <c r="F2" i="8" s="1"/>
  <c r="G2" i="8" s="1"/>
  <c r="I2" i="8" s="1"/>
  <c r="A2" i="8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5" i="6"/>
  <c r="Y4" i="6"/>
  <c r="I8" i="8" l="1"/>
  <c r="I12" i="8"/>
  <c r="I15" i="8"/>
  <c r="I7" i="8"/>
  <c r="I10" i="8"/>
  <c r="I14" i="8"/>
  <c r="I16" i="8"/>
  <c r="I9" i="8"/>
  <c r="I11" i="8"/>
  <c r="I17" i="8"/>
  <c r="I13" i="8"/>
</calcChain>
</file>

<file path=xl/comments1.xml><?xml version="1.0" encoding="utf-8"?>
<comments xmlns="http://schemas.openxmlformats.org/spreadsheetml/2006/main">
  <authors>
    <author>ChoSuWhan</author>
  </authors>
  <commentList>
    <comment ref="N11" authorId="0" shapeId="0">
      <text>
        <r>
          <rPr>
            <b/>
            <sz val="9"/>
            <color indexed="81"/>
            <rFont val="Tahoma"/>
            <family val="2"/>
          </rPr>
          <t>Only FW write</t>
        </r>
      </text>
    </comment>
  </commentList>
</comments>
</file>

<file path=xl/comments2.xml><?xml version="1.0" encoding="utf-8"?>
<comments xmlns="http://schemas.openxmlformats.org/spreadsheetml/2006/main">
  <authors>
    <author>SimGyuChan</author>
  </authors>
  <commentList>
    <comment ref="H11" authorId="0" shapeId="0">
      <text>
        <r>
          <rPr>
            <b/>
            <sz val="9"/>
            <color indexed="81"/>
            <rFont val="Tahoma"/>
            <family val="2"/>
          </rPr>
          <t xml:space="preserve">Counter mode select
</t>
        </r>
        <r>
          <rPr>
            <sz val="9"/>
            <color indexed="81"/>
            <rFont val="Tahoma"/>
            <family val="2"/>
          </rPr>
          <t xml:space="preserve">0 : Increase
1: Clear
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 xml:space="preserve">Counter select
</t>
        </r>
        <r>
          <rPr>
            <sz val="9"/>
            <color indexed="81"/>
            <rFont val="Tahoma"/>
            <family val="2"/>
          </rPr>
          <t>0: counter 0
1: counter 1</t>
        </r>
      </text>
    </comment>
  </commentList>
</comments>
</file>

<file path=xl/sharedStrings.xml><?xml version="1.0" encoding="utf-8"?>
<sst xmlns="http://schemas.openxmlformats.org/spreadsheetml/2006/main" count="2031" uniqueCount="804">
  <si>
    <t>RW</t>
  </si>
  <si>
    <t>0x00</t>
  </si>
  <si>
    <t>TARGET_0</t>
  </si>
  <si>
    <t>TARGET_1</t>
  </si>
  <si>
    <t>ACT_MODE</t>
    <phoneticPr fontId="1" type="noConversion"/>
  </si>
  <si>
    <t>PID</t>
    <phoneticPr fontId="1" type="noConversion"/>
  </si>
  <si>
    <t>CAL</t>
    <phoneticPr fontId="1" type="noConversion"/>
  </si>
  <si>
    <t>CloseLoop</t>
    <phoneticPr fontId="1" type="noConversion"/>
  </si>
  <si>
    <t>STORE1(CAL)</t>
    <phoneticPr fontId="1" type="noConversion"/>
  </si>
  <si>
    <t>STORE_SEL</t>
    <phoneticPr fontId="1" type="noConversion"/>
  </si>
  <si>
    <t>PT2</t>
  </si>
  <si>
    <t>PCAL_0</t>
  </si>
  <si>
    <t>PCAL_1</t>
  </si>
  <si>
    <t>NCAL_0</t>
  </si>
  <si>
    <t>NCAL_1</t>
  </si>
  <si>
    <t>PCAL_ADJ</t>
  </si>
  <si>
    <t>NCAL_ADJ</t>
  </si>
  <si>
    <t>PGAIN_0</t>
  </si>
  <si>
    <t>PGAIN_1</t>
  </si>
  <si>
    <t>IGAIN_0</t>
  </si>
  <si>
    <t>IGAIN_1</t>
  </si>
  <si>
    <t>DGAIN_0</t>
  </si>
  <si>
    <t>DGAIN_1</t>
  </si>
  <si>
    <t>DLPF</t>
  </si>
  <si>
    <t>PT1</t>
  </si>
  <si>
    <t>TM_HALL_RES[1:0] (PO)</t>
  </si>
  <si>
    <t>ANALOG_EN</t>
  </si>
  <si>
    <t>Binary instruction map</t>
    <phoneticPr fontId="1" type="noConversion"/>
  </si>
  <si>
    <t>User instruction</t>
    <phoneticPr fontId="1" type="noConversion"/>
  </si>
  <si>
    <t>Core Register map</t>
    <phoneticPr fontId="1" type="noConversion"/>
  </si>
  <si>
    <t>BASIC COMMAND</t>
    <phoneticPr fontId="1" type="noConversion"/>
  </si>
  <si>
    <t>ADV. COMMAND</t>
    <phoneticPr fontId="1" type="noConversion"/>
  </si>
  <si>
    <t>ADDR(dec)</t>
    <phoneticPr fontId="1" type="noConversion"/>
  </si>
  <si>
    <t>ADDR(hex)</t>
    <phoneticPr fontId="1" type="noConversion"/>
  </si>
  <si>
    <t>REG</t>
    <phoneticPr fontId="1" type="noConversion"/>
  </si>
  <si>
    <t>NOP</t>
    <phoneticPr fontId="1" type="noConversion"/>
  </si>
  <si>
    <t>NOP_CNT</t>
    <phoneticPr fontId="1" type="noConversion"/>
  </si>
  <si>
    <t>MUL reg_addr reg_addr</t>
    <phoneticPr fontId="1" type="noConversion"/>
  </si>
  <si>
    <r>
      <t>MUL_IN0</t>
    </r>
    <r>
      <rPr>
        <sz val="11"/>
        <color theme="0" tint="-0.499984740745262"/>
        <rFont val="맑은 고딕"/>
        <family val="3"/>
        <charset val="129"/>
        <scheme val="minor"/>
      </rPr>
      <t>(16)</t>
    </r>
    <phoneticPr fontId="1" type="noConversion"/>
  </si>
  <si>
    <t>LOAD</t>
    <phoneticPr fontId="1" type="noConversion"/>
  </si>
  <si>
    <t>ext</t>
    <phoneticPr fontId="1" type="noConversion"/>
  </si>
  <si>
    <t>REG_ADDR</t>
    <phoneticPr fontId="1" type="noConversion"/>
  </si>
  <si>
    <r>
      <t>LOAD</t>
    </r>
    <r>
      <rPr>
        <sz val="11"/>
        <color rgb="FF0000FF"/>
        <rFont val="맑은 고딕"/>
        <family val="3"/>
        <charset val="129"/>
        <scheme val="minor"/>
      </rPr>
      <t>(_B)</t>
    </r>
    <r>
      <rPr>
        <sz val="11"/>
        <color theme="1"/>
        <rFont val="맑은 고딕"/>
        <family val="2"/>
        <charset val="129"/>
        <scheme val="minor"/>
      </rPr>
      <t xml:space="preserve"> reg_addr</t>
    </r>
    <phoneticPr fontId="1" type="noConversion"/>
  </si>
  <si>
    <t>ADD reg_addr reg_addr</t>
    <phoneticPr fontId="1" type="noConversion"/>
  </si>
  <si>
    <r>
      <t>MUL_IN1</t>
    </r>
    <r>
      <rPr>
        <sz val="11"/>
        <color theme="0" tint="-0.499984740745262"/>
        <rFont val="맑은 고딕"/>
        <family val="3"/>
        <charset val="129"/>
        <scheme val="minor"/>
      </rPr>
      <t>(16)</t>
    </r>
    <phoneticPr fontId="1" type="noConversion"/>
  </si>
  <si>
    <t>STORE</t>
    <phoneticPr fontId="1" type="noConversion"/>
  </si>
  <si>
    <t>ext</t>
    <phoneticPr fontId="1" type="noConversion"/>
  </si>
  <si>
    <t>REG_ADDR</t>
    <phoneticPr fontId="1" type="noConversion"/>
  </si>
  <si>
    <r>
      <t>STORE</t>
    </r>
    <r>
      <rPr>
        <sz val="11"/>
        <color rgb="FF0000FF"/>
        <rFont val="맑은 고딕"/>
        <family val="3"/>
        <charset val="129"/>
        <scheme val="minor"/>
      </rPr>
      <t>(_B)</t>
    </r>
    <r>
      <rPr>
        <sz val="11"/>
        <color theme="1"/>
        <rFont val="맑은 고딕"/>
        <family val="2"/>
        <charset val="129"/>
        <scheme val="minor"/>
      </rPr>
      <t xml:space="preserve"> reg_addr data</t>
    </r>
    <phoneticPr fontId="1" type="noConversion"/>
  </si>
  <si>
    <t>SUB reg_addr reg_addr</t>
    <phoneticPr fontId="1" type="noConversion"/>
  </si>
  <si>
    <t>MUL_OUT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</si>
  <si>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LOAD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rgb="FFFF0000"/>
        <rFont val="맑은 고딕"/>
        <family val="3"/>
        <charset val="129"/>
        <scheme val="minor"/>
      </rPr>
      <t>C</t>
    </r>
    <r>
      <rPr>
        <sz val="11"/>
        <color theme="1"/>
        <rFont val="맑은 고딕"/>
        <family val="2"/>
        <charset val="129"/>
        <scheme val="minor"/>
      </rPr>
      <t>)_STORE(</t>
    </r>
    <r>
      <rPr>
        <sz val="11"/>
        <color rgb="FFFF0000"/>
        <rFont val="맑은 고딕"/>
        <family val="3"/>
        <charset val="129"/>
        <scheme val="minor"/>
      </rPr>
      <t>C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</si>
  <si>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SRC_REG_ADDR</t>
    <phoneticPr fontId="1" type="noConversion"/>
  </si>
  <si>
    <t>DST_REG_ADDR</t>
    <phoneticPr fontId="1" type="noConversion"/>
  </si>
  <si>
    <r>
      <t>LDST</t>
    </r>
    <r>
      <rPr>
        <sz val="11"/>
        <color rgb="FF0000FF"/>
        <rFont val="맑은 고딕"/>
        <family val="3"/>
        <charset val="129"/>
        <scheme val="minor"/>
      </rPr>
      <t>(_B)</t>
    </r>
    <r>
      <rPr>
        <sz val="11"/>
        <color theme="1"/>
        <rFont val="맑은 고딕"/>
        <family val="2"/>
        <charset val="129"/>
        <scheme val="minor"/>
      </rPr>
      <t xml:space="preserve"> src_addr dst_addr</t>
    </r>
    <phoneticPr fontId="1" type="noConversion"/>
  </si>
  <si>
    <t>SHTR sht_val reg_addr</t>
    <phoneticPr fontId="1" type="noConversion"/>
  </si>
  <si>
    <t>ADD_MODE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</si>
  <si>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LOAD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rgb="FF0000FF"/>
        <rFont val="맑은 고딕"/>
        <family val="3"/>
        <charset val="129"/>
        <scheme val="minor"/>
      </rPr>
      <t>R</t>
    </r>
    <r>
      <rPr>
        <sz val="11"/>
        <color theme="1"/>
        <rFont val="맑은 고딕"/>
        <family val="2"/>
        <charset val="129"/>
        <scheme val="minor"/>
      </rPr>
      <t>)_STORE(</t>
    </r>
    <r>
      <rPr>
        <sz val="11"/>
        <color rgb="FFFF0000"/>
        <rFont val="맑은 고딕"/>
        <family val="3"/>
        <charset val="129"/>
        <scheme val="minor"/>
      </rPr>
      <t>C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</si>
  <si>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SHTL sht_val reg_addr</t>
    <phoneticPr fontId="1" type="noConversion"/>
  </si>
  <si>
    <r>
      <t>ADD_IN0</t>
    </r>
    <r>
      <rPr>
        <sz val="11"/>
        <color theme="0" tint="-0.499984740745262"/>
        <rFont val="맑은 고딕"/>
        <family val="3"/>
        <charset val="129"/>
        <scheme val="minor"/>
      </rPr>
      <t>(32)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</si>
  <si>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LOAD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rgb="FFFF0000"/>
        <rFont val="맑은 고딕"/>
        <family val="3"/>
        <charset val="129"/>
        <scheme val="minor"/>
      </rPr>
      <t>C</t>
    </r>
    <r>
      <rPr>
        <sz val="11"/>
        <color theme="1"/>
        <rFont val="맑은 고딕"/>
        <family val="2"/>
        <charset val="129"/>
        <scheme val="minor"/>
      </rPr>
      <t>)_STORE(</t>
    </r>
    <r>
      <rPr>
        <sz val="11"/>
        <color rgb="FF0000FF"/>
        <rFont val="맑은 고딕"/>
        <family val="3"/>
        <charset val="129"/>
        <scheme val="minor"/>
      </rPr>
      <t>R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</si>
  <si>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SHT_REG reg_addr(mode&lt;&lt;5 | val) reg_addr</t>
    <phoneticPr fontId="1" type="noConversion"/>
  </si>
  <si>
    <r>
      <t>ADD_IN1</t>
    </r>
    <r>
      <rPr>
        <sz val="11"/>
        <color theme="0" tint="-0.499984740745262"/>
        <rFont val="맑은 고딕"/>
        <family val="3"/>
        <charset val="129"/>
        <scheme val="minor"/>
      </rPr>
      <t>(32)</t>
    </r>
    <phoneticPr fontId="1" type="noConversion"/>
  </si>
  <si>
    <r>
      <t>LOAD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rgb="FF0000FF"/>
        <rFont val="맑은 고딕"/>
        <family val="3"/>
        <charset val="129"/>
        <scheme val="minor"/>
      </rPr>
      <t>R</t>
    </r>
    <r>
      <rPr>
        <sz val="11"/>
        <color theme="1"/>
        <rFont val="맑은 고딕"/>
        <family val="2"/>
        <charset val="129"/>
        <scheme val="minor"/>
      </rPr>
      <t>)_STORE(</t>
    </r>
    <r>
      <rPr>
        <sz val="11"/>
        <color rgb="FF0000FF"/>
        <rFont val="맑은 고딕"/>
        <family val="3"/>
        <charset val="129"/>
        <scheme val="minor"/>
      </rPr>
      <t>R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</si>
  <si>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SRC_REG_ADDR</t>
    <phoneticPr fontId="1" type="noConversion"/>
  </si>
  <si>
    <t>DST_REG_ADDR</t>
    <phoneticPr fontId="1" type="noConversion"/>
  </si>
  <si>
    <t>INC 0/1</t>
    <phoneticPr fontId="1" type="noConversion"/>
  </si>
  <si>
    <t>LMT32 reg_addr</t>
    <phoneticPr fontId="1" type="noConversion"/>
  </si>
  <si>
    <t>ADD_OUT</t>
    <phoneticPr fontId="1" type="noConversion"/>
  </si>
  <si>
    <t>CNT_INC/CLR</t>
    <phoneticPr fontId="1" type="noConversion"/>
  </si>
  <si>
    <t>I/C</t>
    <phoneticPr fontId="1" type="noConversion"/>
  </si>
  <si>
    <t>0/1</t>
    <phoneticPr fontId="1" type="noConversion"/>
  </si>
  <si>
    <t>CLR 0/1</t>
    <phoneticPr fontId="1" type="noConversion"/>
  </si>
  <si>
    <t>LMTTH reg_addr(th) reg_addr</t>
    <phoneticPr fontId="1" type="noConversion"/>
  </si>
  <si>
    <t>SHT_MODE[5]/SHT_VAL[4:0]</t>
    <phoneticPr fontId="1" type="noConversion"/>
  </si>
  <si>
    <t>CMP_CNT</t>
    <phoneticPr fontId="1" type="noConversion"/>
  </si>
  <si>
    <t>CNT_VALUE</t>
    <phoneticPr fontId="1" type="noConversion"/>
  </si>
  <si>
    <t>CMPC 0/1 cnt_value[7:0]</t>
    <phoneticPr fontId="1" type="noConversion"/>
  </si>
  <si>
    <r>
      <t>SHT_IN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</si>
  <si>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t>CMP_REG</t>
    <phoneticPr fontId="1" type="noConversion"/>
  </si>
  <si>
    <t>ext</t>
    <phoneticPr fontId="1" type="noConversion"/>
  </si>
  <si>
    <t>REG_ADDR</t>
    <phoneticPr fontId="1" type="noConversion"/>
  </si>
  <si>
    <r>
      <t>CMPR</t>
    </r>
    <r>
      <rPr>
        <sz val="11"/>
        <color rgb="FF0000FF"/>
        <rFont val="맑은 고딕"/>
        <family val="3"/>
        <charset val="129"/>
        <scheme val="minor"/>
      </rPr>
      <t>(_B)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reg_addr</t>
    </r>
    <r>
      <rPr>
        <sz val="11"/>
        <color theme="1"/>
        <rFont val="맑은 고딕"/>
        <family val="2"/>
        <charset val="129"/>
        <scheme val="minor"/>
      </rPr>
      <t xml:space="preserve"> reg_addr</t>
    </r>
    <phoneticPr fontId="1" type="noConversion"/>
  </si>
  <si>
    <t>SHT_OUT</t>
    <phoneticPr fontId="1" type="noConversion"/>
  </si>
  <si>
    <t>BRANCH</t>
    <phoneticPr fontId="1" type="noConversion"/>
  </si>
  <si>
    <t>ROM_ADDR</t>
    <phoneticPr fontId="1" type="noConversion"/>
  </si>
  <si>
    <t>B rom_addr</t>
    <phoneticPr fontId="1" type="noConversion"/>
  </si>
  <si>
    <r>
      <t>LMT_MODE[15]/LMT_T</t>
    </r>
    <r>
      <rPr>
        <sz val="9"/>
        <color theme="1"/>
        <rFont val="맑은 고딕"/>
        <family val="3"/>
        <charset val="129"/>
        <scheme val="minor"/>
      </rPr>
      <t>H[14:0]</t>
    </r>
    <phoneticPr fontId="1" type="noConversion"/>
  </si>
  <si>
    <t>BRANCH_EQ</t>
    <phoneticPr fontId="1" type="noConversion"/>
  </si>
  <si>
    <t>BEQ rom_addr</t>
    <phoneticPr fontId="1" type="noConversion"/>
  </si>
  <si>
    <r>
      <t>LMT_IN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</si>
  <si>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t>BRANCH_MT</t>
    <phoneticPr fontId="1" type="noConversion"/>
  </si>
  <si>
    <t>ROM_ADDR</t>
    <phoneticPr fontId="1" type="noConversion"/>
  </si>
  <si>
    <t>BMT rom_addr</t>
    <phoneticPr fontId="1" type="noConversion"/>
  </si>
  <si>
    <t>LMT_OUT</t>
    <phoneticPr fontId="1" type="noConversion"/>
  </si>
  <si>
    <t>BRANCH_LT</t>
    <phoneticPr fontId="1" type="noConversion"/>
  </si>
  <si>
    <t>BLT rom_addr</t>
    <phoneticPr fontId="1" type="noConversion"/>
  </si>
  <si>
    <t>BYTE_MODE[2]/BANK_SEL[1:0]</t>
    <phoneticPr fontId="1" type="noConversion"/>
  </si>
  <si>
    <t>STORE_F</t>
    <phoneticPr fontId="1" type="noConversion"/>
  </si>
  <si>
    <t>REG_ADDR</t>
    <phoneticPr fontId="1" type="noConversion"/>
  </si>
  <si>
    <t>WDATA</t>
    <phoneticPr fontId="1" type="noConversion"/>
  </si>
  <si>
    <t>STORE_F reg_addr data</t>
    <phoneticPr fontId="1" type="noConversion"/>
  </si>
  <si>
    <t>Internal_cnt0</t>
    <phoneticPr fontId="1" type="noConversion"/>
  </si>
  <si>
    <t>END</t>
    <phoneticPr fontId="1" type="noConversion"/>
  </si>
  <si>
    <t>END</t>
    <phoneticPr fontId="1" type="noConversion"/>
  </si>
  <si>
    <t>Internal_cnt1</t>
    <phoneticPr fontId="1" type="noConversion"/>
  </si>
  <si>
    <r>
      <t>BUFFER0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</si>
  <si>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BUFFER1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</si>
  <si>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BUFFER2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</si>
  <si>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BUFFER3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</si>
  <si>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BUFFER4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</si>
  <si>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BUFFER5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</si>
  <si>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BUFFER6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</si>
  <si>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BUFFER7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</si>
  <si>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BUFFER8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</si>
  <si>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BUFFER9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</si>
  <si>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BUFFER11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</si>
  <si>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t>2's conversion[0]</t>
    <phoneticPr fontId="1" type="noConversion"/>
  </si>
  <si>
    <r>
      <t>BUFFER10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</si>
  <si>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BUFFER12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</si>
  <si>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r>
      <t>BUFFER13</t>
    </r>
    <r>
      <rPr>
        <sz val="11"/>
        <color theme="0" tint="-0.499984740745262"/>
        <rFont val="맑은 고딕"/>
        <family val="3"/>
        <charset val="129"/>
        <scheme val="minor"/>
      </rPr>
      <t>(33)</t>
    </r>
    <phoneticPr fontId="1" type="noConversion"/>
  </si>
  <si>
    <t>PCAL_NCAL</t>
    <phoneticPr fontId="1" type="noConversion"/>
  </si>
  <si>
    <t>X</t>
    <phoneticPr fontId="1" type="noConversion"/>
  </si>
  <si>
    <t>FRA</t>
    <phoneticPr fontId="1" type="noConversion"/>
  </si>
  <si>
    <t>OPENLOOP</t>
    <phoneticPr fontId="1" type="noConversion"/>
  </si>
  <si>
    <t>ST/L</t>
  </si>
  <si>
    <t>FREE_ACCESS_18</t>
  </si>
  <si>
    <t>FREE_ACCESS_19</t>
  </si>
  <si>
    <t>FREE_ACCESS_20</t>
  </si>
  <si>
    <t>FREE_ACCESS_21</t>
  </si>
  <si>
    <t>FREE_ACCESS_22</t>
  </si>
  <si>
    <t>FREE_ACCESS_23</t>
  </si>
  <si>
    <t>FREE_ACCESS_24</t>
  </si>
  <si>
    <t>FREE_ACCESS_25</t>
  </si>
  <si>
    <t>FREE_ACCESS_26</t>
  </si>
  <si>
    <t>FREE_ACCESS_27</t>
  </si>
  <si>
    <t>FREE_ACCESS_28</t>
  </si>
  <si>
    <t>FREE_ACCESS_29</t>
  </si>
  <si>
    <t>FREE_ACCESS_30</t>
  </si>
  <si>
    <t>FREE_ACCESS_31</t>
  </si>
  <si>
    <t>AIF(ADC)</t>
  </si>
  <si>
    <t>AIF(DAC)</t>
  </si>
  <si>
    <t>FREE_ACCESS_15</t>
  </si>
  <si>
    <t>FREE_ACCESS_16</t>
  </si>
  <si>
    <t>FREE_ACCESS_17</t>
  </si>
  <si>
    <t>ADC code var. test</t>
    <phoneticPr fontId="1" type="noConversion"/>
  </si>
  <si>
    <t>ID_FIX</t>
    <phoneticPr fontId="1" type="noConversion"/>
  </si>
  <si>
    <t>64M</t>
    <phoneticPr fontId="1" type="noConversion"/>
  </si>
  <si>
    <t>ContF(M)</t>
    <phoneticPr fontId="1" type="noConversion"/>
  </si>
  <si>
    <t>ContF(k)</t>
    <phoneticPr fontId="1" type="noConversion"/>
  </si>
  <si>
    <t>CLOSED</t>
    <phoneticPr fontId="1" type="noConversion"/>
  </si>
  <si>
    <t>LOOP_CAL</t>
    <phoneticPr fontId="1" type="noConversion"/>
  </si>
  <si>
    <t>FRA</t>
    <phoneticPr fontId="1" type="noConversion"/>
  </si>
  <si>
    <t>BUFFER0</t>
    <phoneticPr fontId="1" type="noConversion"/>
  </si>
  <si>
    <t>Ip</t>
    <phoneticPr fontId="1" type="noConversion"/>
  </si>
  <si>
    <t>BUFFER1</t>
    <phoneticPr fontId="1" type="noConversion"/>
  </si>
  <si>
    <t>Dp</t>
    <phoneticPr fontId="1" type="noConversion"/>
  </si>
  <si>
    <t>BUFFER2</t>
    <phoneticPr fontId="1" type="noConversion"/>
  </si>
  <si>
    <t>NotchZp</t>
    <phoneticPr fontId="1" type="noConversion"/>
  </si>
  <si>
    <t>NotchZpp</t>
    <phoneticPr fontId="1" type="noConversion"/>
  </si>
  <si>
    <t>BUFFER5</t>
    <phoneticPr fontId="1" type="noConversion"/>
  </si>
  <si>
    <t>Settling Time CNT</t>
    <phoneticPr fontId="1" type="noConversion"/>
  </si>
  <si>
    <t>SingenZp</t>
    <phoneticPr fontId="1" type="noConversion"/>
  </si>
  <si>
    <t>FRA_BUFFER</t>
    <phoneticPr fontId="1" type="noConversion"/>
  </si>
  <si>
    <t>BUFFER6</t>
    <phoneticPr fontId="1" type="noConversion"/>
  </si>
  <si>
    <t>Divergence CNT</t>
    <phoneticPr fontId="1" type="noConversion"/>
  </si>
  <si>
    <t>SingenZpp</t>
    <phoneticPr fontId="1" type="noConversion"/>
  </si>
  <si>
    <t>BUFFER7</t>
    <phoneticPr fontId="1" type="noConversion"/>
  </si>
  <si>
    <t>PositionRead LPFp</t>
    <phoneticPr fontId="1" type="noConversion"/>
  </si>
  <si>
    <t>BPF1_Zp</t>
    <phoneticPr fontId="1" type="noConversion"/>
  </si>
  <si>
    <t>BUFFER8</t>
    <phoneticPr fontId="1" type="noConversion"/>
  </si>
  <si>
    <t>dd_mode_start_check</t>
    <phoneticPr fontId="1" type="noConversion"/>
  </si>
  <si>
    <t>BPF1_Zpp</t>
    <phoneticPr fontId="1" type="noConversion"/>
  </si>
  <si>
    <t>BUFFER9</t>
    <phoneticPr fontId="1" type="noConversion"/>
  </si>
  <si>
    <t>BPF2_Zp</t>
    <phoneticPr fontId="1" type="noConversion"/>
  </si>
  <si>
    <t>BUFFER10</t>
    <phoneticPr fontId="1" type="noConversion"/>
  </si>
  <si>
    <t>BPF2_Zpp</t>
    <phoneticPr fontId="1" type="noConversion"/>
  </si>
  <si>
    <t>BUFFER11</t>
    <phoneticPr fontId="1" type="noConversion"/>
  </si>
  <si>
    <t>연산</t>
    <phoneticPr fontId="1" type="noConversion"/>
  </si>
  <si>
    <t>BUFFER3</t>
    <phoneticPr fontId="1" type="noConversion"/>
  </si>
  <si>
    <t>BUFFER4</t>
    <phoneticPr fontId="1" type="noConversion"/>
  </si>
  <si>
    <t>dd_dircheck</t>
    <phoneticPr fontId="1" type="noConversion"/>
  </si>
  <si>
    <t>F_SDM_NZERO[1:0]</t>
  </si>
  <si>
    <t>STORE2(USER_ACCESS)</t>
    <phoneticPr fontId="1" type="noConversion"/>
  </si>
  <si>
    <t>STORE3(TRIM)</t>
    <phoneticPr fontId="1" type="noConversion"/>
  </si>
  <si>
    <t>VCM Res. Meas</t>
    <phoneticPr fontId="1" type="noConversion"/>
  </si>
  <si>
    <t>NCAL_PCAL</t>
    <phoneticPr fontId="1" type="noConversion"/>
  </si>
  <si>
    <t>LDT1</t>
  </si>
  <si>
    <t>0x00 - 0x85 - 0x73 - 0x25 - 0xDE</t>
    <phoneticPr fontId="1" type="noConversion"/>
  </si>
  <si>
    <t>W</t>
  </si>
  <si>
    <t>Write only</t>
  </si>
  <si>
    <t>STORE/LOAD</t>
  </si>
  <si>
    <t>DATA</t>
    <phoneticPr fontId="29" type="noConversion"/>
  </si>
  <si>
    <t>:SAL DATA</t>
    <phoneticPr fontId="29" type="noConversion"/>
  </si>
  <si>
    <t>Read/Write</t>
  </si>
  <si>
    <t>L</t>
  </si>
  <si>
    <t>LOAD</t>
  </si>
  <si>
    <t>R</t>
  </si>
  <si>
    <t>Read only</t>
  </si>
  <si>
    <t>Address</t>
  </si>
  <si>
    <t>Name</t>
  </si>
  <si>
    <t>MEM</t>
  </si>
  <si>
    <t>D7</t>
  </si>
  <si>
    <t>D6</t>
  </si>
  <si>
    <t>D5</t>
  </si>
  <si>
    <t>D4</t>
  </si>
  <si>
    <t>D3</t>
  </si>
  <si>
    <t>D2</t>
  </si>
  <si>
    <t>D1</t>
  </si>
  <si>
    <t>D0</t>
  </si>
  <si>
    <t>Default</t>
  </si>
  <si>
    <t>Protect</t>
  </si>
  <si>
    <t>Protection</t>
  </si>
  <si>
    <t>Number</t>
  </si>
  <si>
    <t>ETC.</t>
  </si>
  <si>
    <t>TARGET[13:6]</t>
  </si>
  <si>
    <t>NO_PT</t>
  </si>
  <si>
    <t>NO-PT</t>
  </si>
  <si>
    <t>TARGET[5:0]</t>
  </si>
  <si>
    <t>OUTDIS/SLEEP</t>
  </si>
  <si>
    <t>RW</t>
    <phoneticPr fontId="29" type="noConversion"/>
  </si>
  <si>
    <t>OUTDIS</t>
  </si>
  <si>
    <t>SLEEP</t>
  </si>
  <si>
    <t>ACT_MODE[2:0]</t>
  </si>
  <si>
    <t>0x40</t>
  </si>
  <si>
    <t>SLEEP_TRIG</t>
  </si>
  <si>
    <t>W</t>
    <phoneticPr fontId="29" type="noConversion"/>
  </si>
  <si>
    <t>STORE/MLOAD</t>
  </si>
  <si>
    <t>STORE_SEL[1:0]</t>
  </si>
  <si>
    <t>STORE</t>
  </si>
  <si>
    <t>PT2/PT1</t>
  </si>
  <si>
    <t>PRODUCT_ID</t>
  </si>
  <si>
    <t>PRODUCT_ID[7:0]</t>
  </si>
  <si>
    <t>SWRST</t>
  </si>
  <si>
    <t>SW_RESET</t>
  </si>
  <si>
    <t>SAL_ACT</t>
  </si>
  <si>
    <t>UM_RM_FLAG</t>
  </si>
  <si>
    <t>ADC_DATA_A</t>
  </si>
  <si>
    <t>ADC_H1_DATA[12:5]</t>
  </si>
  <si>
    <t>ADC_H1_DATA[4:0]</t>
  </si>
  <si>
    <t>ADC_DATA_B</t>
  </si>
  <si>
    <t>ADC_H2_DATA[12:5]</t>
  </si>
  <si>
    <t>ADC_H2_DATA[4:0]</t>
  </si>
  <si>
    <t>TEMP_DATA</t>
  </si>
  <si>
    <t>TEMP_DATA[12:5]</t>
  </si>
  <si>
    <t>TEMP_DATA[4:0]</t>
  </si>
  <si>
    <t>TARGET_P_0</t>
    <phoneticPr fontId="29" type="noConversion"/>
  </si>
  <si>
    <t>TARGET_P[15:8]</t>
  </si>
  <si>
    <t>TARGET_P[7:0]</t>
  </si>
  <si>
    <t>PCAL_ADJ_P</t>
  </si>
  <si>
    <t>PCAL_ADJ_P[7:0]</t>
  </si>
  <si>
    <t>NCAL_ADJ_P</t>
  </si>
  <si>
    <t>NCAL_ADJ_P[7:0]</t>
  </si>
  <si>
    <t>ANTIWIND_UP[15:8]</t>
  </si>
  <si>
    <t>ANTIWIND_UP[7:0]</t>
  </si>
  <si>
    <t>DACBUFFER[15:8]</t>
  </si>
  <si>
    <t>DACBUFFER[7:0]</t>
  </si>
  <si>
    <t>SETTLING_TIME</t>
  </si>
  <si>
    <t>SETTLING_TIME[15:8]</t>
  </si>
  <si>
    <t>SETTLING_TIME[7:0]</t>
  </si>
  <si>
    <t>ERROR[15:8]</t>
  </si>
  <si>
    <t>ERROR[7:0]</t>
  </si>
  <si>
    <t>ERROR_PD</t>
  </si>
  <si>
    <t>ERROR_PD[15:8]</t>
  </si>
  <si>
    <t>ERROR_PD[7:0]</t>
  </si>
  <si>
    <t>LIN_FEEDBACK_0</t>
    <phoneticPr fontId="29" type="noConversion"/>
  </si>
  <si>
    <t>LIN_FEEDBACK[15:8]</t>
  </si>
  <si>
    <t>LIN_FEEDBACK_1</t>
    <phoneticPr fontId="29" type="noConversion"/>
  </si>
  <si>
    <t>LIN_FEEDBACK[7:0]</t>
  </si>
  <si>
    <t>TRA_TARGET_0</t>
    <phoneticPr fontId="29" type="noConversion"/>
  </si>
  <si>
    <t>TRA_TARGET[15:8]</t>
  </si>
  <si>
    <t>TRA_TARGET[7:0]</t>
  </si>
  <si>
    <t>INFO_0</t>
  </si>
  <si>
    <t>DESIGNR[3:0] (PI)</t>
  </si>
  <si>
    <t>INFO_1</t>
  </si>
  <si>
    <t>MANU_ID[3:0] (PI)</t>
  </si>
  <si>
    <t>IC_MODEL[3:0] (PI)</t>
  </si>
  <si>
    <t>FW INFO_0</t>
  </si>
  <si>
    <t>F/W VERSION15:8]</t>
  </si>
  <si>
    <t>0x00</t>
    <phoneticPr fontId="29" type="noConversion"/>
  </si>
  <si>
    <t>FW INFO_1</t>
  </si>
  <si>
    <t>F/W VERSION[7:0]</t>
  </si>
  <si>
    <t>FEEDBACK[15:8]</t>
  </si>
  <si>
    <t>FEEDBACK_1</t>
    <phoneticPr fontId="29" type="noConversion"/>
  </si>
  <si>
    <t>FEEDBACK[7:0]</t>
  </si>
  <si>
    <t>SL_EN</t>
    <phoneticPr fontId="29" type="noConversion"/>
  </si>
  <si>
    <t>SL_STATUS[7:0]</t>
    <phoneticPr fontId="29" type="noConversion"/>
  </si>
  <si>
    <t>PT1_CTRL</t>
  </si>
  <si>
    <t>PT2_CTRL</t>
  </si>
  <si>
    <t>OFF : 0x13 ON : 0xB2</t>
    <phoneticPr fontId="29" type="noConversion"/>
  </si>
  <si>
    <t>MEM_SEL</t>
  </si>
  <si>
    <t>DCT_EN</t>
  </si>
  <si>
    <t>RED_EN</t>
  </si>
  <si>
    <t>LDT_1_EN</t>
  </si>
  <si>
    <t>LDT_0_EN</t>
  </si>
  <si>
    <t>IF_EN</t>
  </si>
  <si>
    <t>STATUS</t>
  </si>
  <si>
    <t>RED_CHK_OK</t>
  </si>
  <si>
    <t>LDT1_CHK_OK</t>
  </si>
  <si>
    <t>LDT0_CHK_OK</t>
  </si>
  <si>
    <t>FMC_BUSY</t>
  </si>
  <si>
    <t>ERASE_ADDR</t>
  </si>
  <si>
    <t>ERASE</t>
  </si>
  <si>
    <t>CHIP</t>
  </si>
  <si>
    <t>SECTOR</t>
  </si>
  <si>
    <t>PAGE</t>
  </si>
  <si>
    <r>
      <t>FMC</t>
    </r>
    <r>
      <rPr>
        <sz val="10"/>
        <color rgb="FF000000"/>
        <rFont val="AR PL UMing HK"/>
        <family val="2"/>
      </rPr>
      <t>처리</t>
    </r>
  </si>
  <si>
    <t>MEM_ADDR_1</t>
  </si>
  <si>
    <t>0X00</t>
  </si>
  <si>
    <t>MEM_ADDR_0</t>
  </si>
  <si>
    <t>MEM_ADDR[7:0]</t>
  </si>
  <si>
    <t>MEM_DATA_3</t>
  </si>
  <si>
    <t>MEM_DATA[31:24]</t>
  </si>
  <si>
    <t>MEM_DATA_2</t>
  </si>
  <si>
    <t>MEM_DATA[23:16]</t>
  </si>
  <si>
    <t>MEM_DATA_1</t>
  </si>
  <si>
    <t>MEM_DATA[15:8]</t>
  </si>
  <si>
    <t>MEM_DATA_0</t>
  </si>
  <si>
    <t>MEM_DATA[7:0]</t>
  </si>
  <si>
    <t>: SAL data</t>
    <phoneticPr fontId="29" type="noConversion"/>
  </si>
  <si>
    <t>RW</t>
    <phoneticPr fontId="29" type="noConversion"/>
  </si>
  <si>
    <t>W</t>
    <phoneticPr fontId="29" type="noConversion"/>
  </si>
  <si>
    <t>TARGET_P_1</t>
    <phoneticPr fontId="29" type="noConversion"/>
  </si>
  <si>
    <t>ANTIWINDUP_P_0</t>
    <phoneticPr fontId="29" type="noConversion"/>
  </si>
  <si>
    <t>ANTIWINDUP_P_1</t>
    <phoneticPr fontId="29" type="noConversion"/>
  </si>
  <si>
    <t>3.3V reg</t>
    <phoneticPr fontId="29" type="noConversion"/>
  </si>
  <si>
    <t>:16b atomic read</t>
    <phoneticPr fontId="29" type="noConversion"/>
  </si>
  <si>
    <t>:8b read</t>
    <phoneticPr fontId="29" type="noConversion"/>
  </si>
  <si>
    <t>TRA_TARGET_1</t>
    <phoneticPr fontId="29" type="noConversion"/>
  </si>
  <si>
    <t>SL_STATUS</t>
    <phoneticPr fontId="29" type="noConversion"/>
  </si>
  <si>
    <t>PT1 - OFF : 0x85 ON : 0x52  PT_EXTRA - OFF : 0xA9 ON: E7
PROG_PT - OFF: 0xE8 ON : 0x31</t>
    <phoneticPr fontId="29" type="noConversion"/>
  </si>
  <si>
    <t>MEM_WE</t>
    <phoneticPr fontId="29" type="noConversion"/>
  </si>
  <si>
    <t>ERASE_ADDR[5:0]</t>
    <phoneticPr fontId="29" type="noConversion"/>
  </si>
  <si>
    <t>MEM_ADDR[14:8]</t>
    <phoneticPr fontId="29" type="noConversion"/>
  </si>
  <si>
    <t>PCAL[15:8]</t>
    <phoneticPr fontId="29" type="noConversion"/>
  </si>
  <si>
    <t>PCAL[7:0]</t>
    <phoneticPr fontId="29" type="noConversion"/>
  </si>
  <si>
    <t>PT_L1</t>
  </si>
  <si>
    <t>NCAL[15:8]</t>
    <phoneticPr fontId="29" type="noConversion"/>
  </si>
  <si>
    <t>NCAL[7:0]</t>
    <phoneticPr fontId="29" type="noConversion"/>
  </si>
  <si>
    <t>CAL_FLAG</t>
  </si>
  <si>
    <t>CAL_FLAG[7:0]</t>
    <phoneticPr fontId="29" type="noConversion"/>
  </si>
  <si>
    <t>CAL_SETTING</t>
  </si>
  <si>
    <t>CAL_INITIAL[2:0]</t>
    <phoneticPr fontId="29" type="noConversion"/>
  </si>
  <si>
    <t>CAL_SLOPE[1:0]</t>
    <phoneticPr fontId="29" type="noConversion"/>
  </si>
  <si>
    <t>CAL_TIME[2:0]</t>
    <phoneticPr fontId="29" type="noConversion"/>
  </si>
  <si>
    <t>0x08</t>
    <phoneticPr fontId="29" type="noConversion"/>
  </si>
  <si>
    <t>PCAL ADJ[7:0]</t>
    <phoneticPr fontId="29" type="noConversion"/>
  </si>
  <si>
    <t>NCAL ADJ[7:0]</t>
    <phoneticPr fontId="29" type="noConversion"/>
  </si>
  <si>
    <t>LGACOMP_0</t>
    <phoneticPr fontId="29" type="noConversion"/>
  </si>
  <si>
    <t>0x10</t>
    <phoneticPr fontId="29" type="noConversion"/>
  </si>
  <si>
    <t>LGACOMP_1</t>
    <phoneticPr fontId="29" type="noConversion"/>
  </si>
  <si>
    <t>P_GAIN[15:8]</t>
    <phoneticPr fontId="29" type="noConversion"/>
  </si>
  <si>
    <t>P_GAIN[7:0]</t>
    <phoneticPr fontId="29" type="noConversion"/>
  </si>
  <si>
    <t>I_GAIN[7:0]</t>
    <phoneticPr fontId="29" type="noConversion"/>
  </si>
  <si>
    <t>D_GAIN[15:8]</t>
    <phoneticPr fontId="29" type="noConversion"/>
  </si>
  <si>
    <t>LPF1_A1_0</t>
    <phoneticPr fontId="29" type="noConversion"/>
  </si>
  <si>
    <t>LPF1_A1[15:8]</t>
    <phoneticPr fontId="29" type="noConversion"/>
  </si>
  <si>
    <t>LPF1_A1_1</t>
    <phoneticPr fontId="29" type="noConversion"/>
  </si>
  <si>
    <t>LPF2_A1_0</t>
    <phoneticPr fontId="29" type="noConversion"/>
  </si>
  <si>
    <t>LPF2_A1_1</t>
    <phoneticPr fontId="29" type="noConversion"/>
  </si>
  <si>
    <t>LINCOMP_EN</t>
  </si>
  <si>
    <t>LINCOMP_EN</t>
    <phoneticPr fontId="29" type="noConversion"/>
  </si>
  <si>
    <t>LINCOMP1</t>
  </si>
  <si>
    <t>LINCOMP1[15:8]</t>
    <phoneticPr fontId="29" type="noConversion"/>
  </si>
  <si>
    <t>0x04</t>
    <phoneticPr fontId="29" type="noConversion"/>
  </si>
  <si>
    <t>LINCOMP1[7:0]</t>
    <phoneticPr fontId="29" type="noConversion"/>
  </si>
  <si>
    <t>LINCOMP2</t>
  </si>
  <si>
    <t>LINCOMP2[15:8]</t>
    <phoneticPr fontId="29" type="noConversion"/>
  </si>
  <si>
    <t>LINCOMP2[7:0]</t>
    <phoneticPr fontId="29" type="noConversion"/>
  </si>
  <si>
    <t>LINCOMP3</t>
  </si>
  <si>
    <t>LINCOMP3[15:8]</t>
    <phoneticPr fontId="29" type="noConversion"/>
  </si>
  <si>
    <t>0x0C</t>
    <phoneticPr fontId="29" type="noConversion"/>
  </si>
  <si>
    <t>LINCOMP3[7:0]</t>
    <phoneticPr fontId="29" type="noConversion"/>
  </si>
  <si>
    <t>LINCOMP4</t>
  </si>
  <si>
    <t>LINCOMP4[15:8]</t>
    <phoneticPr fontId="29" type="noConversion"/>
  </si>
  <si>
    <t>LINCOMP4[7:0]</t>
    <phoneticPr fontId="29" type="noConversion"/>
  </si>
  <si>
    <t>LINCOMP5</t>
  </si>
  <si>
    <t>LINCOMP5[15:8]</t>
    <phoneticPr fontId="29" type="noConversion"/>
  </si>
  <si>
    <t>0x14</t>
    <phoneticPr fontId="29" type="noConversion"/>
  </si>
  <si>
    <t>LINCOMP5[7:0]</t>
    <phoneticPr fontId="29" type="noConversion"/>
  </si>
  <si>
    <t>LINCOMP6</t>
  </si>
  <si>
    <t>LINCOMP6[15:8]</t>
    <phoneticPr fontId="29" type="noConversion"/>
  </si>
  <si>
    <t>0x18</t>
    <phoneticPr fontId="29" type="noConversion"/>
  </si>
  <si>
    <t>LINCOMP6[7:0]</t>
    <phoneticPr fontId="29" type="noConversion"/>
  </si>
  <si>
    <t>LINCOMP7</t>
  </si>
  <si>
    <t>LINCOMP7[15:8]</t>
    <phoneticPr fontId="29" type="noConversion"/>
  </si>
  <si>
    <t>0x1C</t>
    <phoneticPr fontId="29" type="noConversion"/>
  </si>
  <si>
    <t>LINCOMP7[7:0]</t>
    <phoneticPr fontId="29" type="noConversion"/>
  </si>
  <si>
    <t>LINCOMP8</t>
  </si>
  <si>
    <t>LINCOMP8[15:8]</t>
    <phoneticPr fontId="29" type="noConversion"/>
  </si>
  <si>
    <t>0x20</t>
    <phoneticPr fontId="29" type="noConversion"/>
  </si>
  <si>
    <t>LINCOMP8[7:0]</t>
    <phoneticPr fontId="29" type="noConversion"/>
  </si>
  <si>
    <t>LINCOMP9</t>
  </si>
  <si>
    <t>LINCOMP9[15:8]</t>
    <phoneticPr fontId="29" type="noConversion"/>
  </si>
  <si>
    <t>0x24</t>
    <phoneticPr fontId="29" type="noConversion"/>
  </si>
  <si>
    <t>LINCOMP9[7:0]</t>
    <phoneticPr fontId="29" type="noConversion"/>
  </si>
  <si>
    <t>LINCOMP10</t>
  </si>
  <si>
    <t>LINCOMP10[15:8]</t>
    <phoneticPr fontId="29" type="noConversion"/>
  </si>
  <si>
    <t>0x28</t>
    <phoneticPr fontId="29" type="noConversion"/>
  </si>
  <si>
    <t>LINCOMP10[7:0]</t>
    <phoneticPr fontId="29" type="noConversion"/>
  </si>
  <si>
    <t>LINCOMP11</t>
  </si>
  <si>
    <t>LINCOMP11[15:8]</t>
    <phoneticPr fontId="29" type="noConversion"/>
  </si>
  <si>
    <t>0x2C</t>
    <phoneticPr fontId="29" type="noConversion"/>
  </si>
  <si>
    <t>LINCOMP11[7:0]</t>
    <phoneticPr fontId="29" type="noConversion"/>
  </si>
  <si>
    <t>LINCOMP12</t>
  </si>
  <si>
    <t>LINCOMP12[15:8]</t>
    <phoneticPr fontId="29" type="noConversion"/>
  </si>
  <si>
    <t>0x30</t>
    <phoneticPr fontId="29" type="noConversion"/>
  </si>
  <si>
    <t>LINCOMP12[7:0]</t>
    <phoneticPr fontId="29" type="noConversion"/>
  </si>
  <si>
    <t>LINCOMP13</t>
  </si>
  <si>
    <t>LINCOMP13[15:8]</t>
    <phoneticPr fontId="29" type="noConversion"/>
  </si>
  <si>
    <t>0x34</t>
    <phoneticPr fontId="29" type="noConversion"/>
  </si>
  <si>
    <t>LINCOMP13[7:0]</t>
    <phoneticPr fontId="29" type="noConversion"/>
  </si>
  <si>
    <t>LINCOMP14</t>
  </si>
  <si>
    <t>LINCOMP14[15:8]</t>
    <phoneticPr fontId="29" type="noConversion"/>
  </si>
  <si>
    <t>0x38</t>
    <phoneticPr fontId="29" type="noConversion"/>
  </si>
  <si>
    <t>LINCOMP14[7:0]</t>
    <phoneticPr fontId="29" type="noConversion"/>
  </si>
  <si>
    <t>LINCOMP15</t>
  </si>
  <si>
    <t>LINCOMP15[15:8]</t>
    <phoneticPr fontId="29" type="noConversion"/>
  </si>
  <si>
    <t>0x3C</t>
    <phoneticPr fontId="29" type="noConversion"/>
  </si>
  <si>
    <t>LINCOMP15[7:0]</t>
    <phoneticPr fontId="29" type="noConversion"/>
  </si>
  <si>
    <t>COMP2</t>
  </si>
  <si>
    <t>HALL_MODE[1:0]</t>
    <phoneticPr fontId="29" type="noConversion"/>
  </si>
  <si>
    <t>DD_EN</t>
    <phoneticPr fontId="29" type="noConversion"/>
  </si>
  <si>
    <t>CF_EN</t>
    <phoneticPr fontId="29" type="noConversion"/>
  </si>
  <si>
    <t>NOTCH_EN</t>
    <phoneticPr fontId="29" type="noConversion"/>
  </si>
  <si>
    <t>TARJECTORY</t>
    <phoneticPr fontId="29" type="noConversion"/>
  </si>
  <si>
    <t>TARJECTORY[7:0]</t>
    <phoneticPr fontId="29" type="noConversion"/>
  </si>
  <si>
    <t>SETTING1</t>
  </si>
  <si>
    <t>PID_SEL</t>
    <phoneticPr fontId="29" type="noConversion"/>
  </si>
  <si>
    <t>ADC_CLK_SEL[1:0]</t>
    <phoneticPr fontId="29" type="noConversion"/>
  </si>
  <si>
    <t>CHOP_FREQ_SEL[1:0]</t>
    <phoneticPr fontId="29" type="noConversion"/>
  </si>
  <si>
    <t>SETTING2</t>
  </si>
  <si>
    <t>COIL_DIR2</t>
    <phoneticPr fontId="29" type="noConversion"/>
  </si>
  <si>
    <t>COIL_DIR</t>
    <phoneticPr fontId="29" type="noConversion"/>
  </si>
  <si>
    <t>HALL_DIR</t>
    <phoneticPr fontId="29" type="noConversion"/>
  </si>
  <si>
    <t>ADC_DIR</t>
    <phoneticPr fontId="29" type="noConversion"/>
  </si>
  <si>
    <t>ADC_CUT</t>
    <phoneticPr fontId="29" type="noConversion"/>
  </si>
  <si>
    <t>ADC_MODE[1:0]</t>
    <phoneticPr fontId="29" type="noConversion"/>
  </si>
  <si>
    <t>HALL_DAC1</t>
  </si>
  <si>
    <t>HALL_BIAS_FINE_1[5:0] (PO)</t>
    <phoneticPr fontId="29" type="noConversion"/>
  </si>
  <si>
    <t>HALL_DAC2</t>
  </si>
  <si>
    <t>HALL_BIAS_FINE_2[5:0] (PO)</t>
    <phoneticPr fontId="29" type="noConversion"/>
  </si>
  <si>
    <t>ADC REF / AMP GAIN</t>
  </si>
  <si>
    <t>DUMMY0[1] (PO)</t>
    <phoneticPr fontId="29" type="noConversion"/>
  </si>
  <si>
    <t>DUMMY0[0](PO)
(SDM_REF_TEMP_ENB)</t>
    <phoneticPr fontId="29" type="noConversion"/>
  </si>
  <si>
    <t>ADC_REF_GEN[1:0] (PO)</t>
    <phoneticPr fontId="29" type="noConversion"/>
  </si>
  <si>
    <t>DUMMY1[1:0] (PO)</t>
    <phoneticPr fontId="29" type="noConversion"/>
  </si>
  <si>
    <t>HA_GAIN[1:0] (PO)</t>
    <phoneticPr fontId="29" type="noConversion"/>
  </si>
  <si>
    <t>0x30</t>
    <phoneticPr fontId="29" type="noConversion"/>
  </si>
  <si>
    <t>HALL_SEL</t>
  </si>
  <si>
    <t>DUMMY2[3:0] (PO)</t>
    <phoneticPr fontId="29" type="noConversion"/>
  </si>
  <si>
    <t>SEL_MAG (PO)</t>
    <phoneticPr fontId="29" type="noConversion"/>
  </si>
  <si>
    <t>SEL_BIAS (PO)</t>
    <phoneticPr fontId="29" type="noConversion"/>
  </si>
  <si>
    <t>SDDAC_I2C</t>
  </si>
  <si>
    <t>DRV_GAIN[1:0] (PO)</t>
    <phoneticPr fontId="29" type="noConversion"/>
  </si>
  <si>
    <t>ACT_TYPE (PO)</t>
    <phoneticPr fontId="29" type="noConversion"/>
  </si>
  <si>
    <t>VIH (PO)</t>
    <phoneticPr fontId="29" type="noConversion"/>
  </si>
  <si>
    <t>0x01</t>
    <phoneticPr fontId="29" type="noConversion"/>
  </si>
  <si>
    <t>DEV</t>
  </si>
  <si>
    <t>STATE_SET</t>
    <phoneticPr fontId="29" type="noConversion"/>
  </si>
  <si>
    <t>DEV_SEL [2:0]</t>
    <phoneticPr fontId="29" type="noConversion"/>
  </si>
  <si>
    <t>PRODUCT_ID[7:0]</t>
    <phoneticPr fontId="29" type="noConversion"/>
  </si>
  <si>
    <t>HALL_BSCALE_0</t>
    <phoneticPr fontId="29" type="noConversion"/>
  </si>
  <si>
    <t>HALL_BSCALE[15:8]</t>
  </si>
  <si>
    <t>HALL_BSCALE_1</t>
    <phoneticPr fontId="29" type="noConversion"/>
  </si>
  <si>
    <t>HALL_BSCALE[7:0]</t>
  </si>
  <si>
    <t>PT_L2</t>
  </si>
  <si>
    <t>CAL_SCALE_0</t>
    <phoneticPr fontId="29" type="noConversion"/>
  </si>
  <si>
    <t>CAL_SCALE[15:8]</t>
  </si>
  <si>
    <t>CAL_SCALE_1</t>
    <phoneticPr fontId="29" type="noConversion"/>
  </si>
  <si>
    <t>CAL_SCALE[7:0]</t>
  </si>
  <si>
    <t>POSITION</t>
  </si>
  <si>
    <t>POSITION1[13:6]</t>
  </si>
  <si>
    <t>POSITION1[5:0]</t>
  </si>
  <si>
    <t>NOTCH_A1_0</t>
    <phoneticPr fontId="29" type="noConversion"/>
  </si>
  <si>
    <t>NOTCH_A1[15:8]</t>
  </si>
  <si>
    <t>NOTCH_A1_1</t>
    <phoneticPr fontId="29" type="noConversion"/>
  </si>
  <si>
    <t>NOTCH_A1[7:0]</t>
  </si>
  <si>
    <t>NOTCH_A2_0</t>
    <phoneticPr fontId="29" type="noConversion"/>
  </si>
  <si>
    <t>NOTCH_A2[15:8]</t>
  </si>
  <si>
    <t>NOTCH_A2_1</t>
    <phoneticPr fontId="29" type="noConversion"/>
  </si>
  <si>
    <t>NOTCH_A2[7:0]</t>
  </si>
  <si>
    <t>NOTCH_B0_0</t>
    <phoneticPr fontId="29" type="noConversion"/>
  </si>
  <si>
    <t>NOTCH_B0[15:8]</t>
  </si>
  <si>
    <t>NOTCH_B0_1</t>
    <phoneticPr fontId="29" type="noConversion"/>
  </si>
  <si>
    <t>NOTCH_B0[7:0]</t>
  </si>
  <si>
    <t>NOTCH_B1_0</t>
    <phoneticPr fontId="29" type="noConversion"/>
  </si>
  <si>
    <t>NOTCH_B1[15:8]</t>
  </si>
  <si>
    <t>NOTCH_B1_1</t>
    <phoneticPr fontId="29" type="noConversion"/>
  </si>
  <si>
    <t>NOTCH_B1[7:0]</t>
  </si>
  <si>
    <t>NOTCH_B2_0</t>
    <phoneticPr fontId="29" type="noConversion"/>
  </si>
  <si>
    <t>NOTCH_B2[15:8]</t>
  </si>
  <si>
    <t>NOTCH_B2_1</t>
    <phoneticPr fontId="29" type="noConversion"/>
  </si>
  <si>
    <t>NOTCH_B2[7:0]</t>
  </si>
  <si>
    <t>SAL_FUNCTION_0</t>
  </si>
  <si>
    <t>SAL_PCAL[5:0]</t>
  </si>
  <si>
    <t>SAL_DET_TIME[1:0]</t>
  </si>
  <si>
    <t>SAL_FUNCTION_1</t>
  </si>
  <si>
    <t>SAL_NCAL[5:0]</t>
  </si>
  <si>
    <t>SAL_HOLD_TIME[1:0]</t>
  </si>
  <si>
    <t>SAL_FUNCTION_2</t>
  </si>
  <si>
    <t>SAL_DAC_RANGE_TH[5:0]</t>
  </si>
  <si>
    <t>SAL_RST_TIME[1:0]</t>
  </si>
  <si>
    <t>SAL_FUNCTION_3</t>
  </si>
  <si>
    <t>SAL_POSI_TH[3:0]</t>
  </si>
  <si>
    <t>SAL_NEG_TH[3:0]</t>
  </si>
  <si>
    <t>SAL_FUNCTION_4</t>
  </si>
  <si>
    <t>SAL_CUR_CNT[3:0]</t>
  </si>
  <si>
    <t>SAL_CNT_TH[3:0]</t>
  </si>
  <si>
    <t>SAL_FUNCTION_5</t>
  </si>
  <si>
    <t>SAL_RST_TIME_CNT[6:0]</t>
  </si>
  <si>
    <t xml:space="preserve">SAL_EN </t>
    <phoneticPr fontId="29" type="noConversion"/>
  </si>
  <si>
    <t>SAL_FUNCTION_6</t>
  </si>
  <si>
    <t>SAL_POSITION_LVL_P[2:0]</t>
  </si>
  <si>
    <t>SAL_STATE[2:0]</t>
    <phoneticPr fontId="29" type="noConversion"/>
  </si>
  <si>
    <t>CAL_OFFSET_0</t>
    <phoneticPr fontId="29" type="noConversion"/>
  </si>
  <si>
    <t>CAL_OFFSET[15:8]</t>
    <phoneticPr fontId="29" type="noConversion"/>
  </si>
  <si>
    <t>CAL_OFFSET_1</t>
    <phoneticPr fontId="29" type="noConversion"/>
  </si>
  <si>
    <t>CAL_OFFSET[7:0]</t>
    <phoneticPr fontId="29" type="noConversion"/>
  </si>
  <si>
    <t>0xFF</t>
    <phoneticPr fontId="29" type="noConversion"/>
  </si>
  <si>
    <t>CF_SLOPE_A_0</t>
    <phoneticPr fontId="29" type="noConversion"/>
  </si>
  <si>
    <t>CF_SLOPE_A[15:8]</t>
    <phoneticPr fontId="29" type="noConversion"/>
  </si>
  <si>
    <t>CF_SLOPE_A_1</t>
    <phoneticPr fontId="29" type="noConversion"/>
  </si>
  <si>
    <t>CF_SLOPE_A[7:0]</t>
    <phoneticPr fontId="29" type="noConversion"/>
  </si>
  <si>
    <t>CF_SLOPE_B_0</t>
    <phoneticPr fontId="29" type="noConversion"/>
  </si>
  <si>
    <t>CF_SLOPE_B[15:8]</t>
    <phoneticPr fontId="29" type="noConversion"/>
  </si>
  <si>
    <t>CF_SLOPE_B_1</t>
    <phoneticPr fontId="29" type="noConversion"/>
  </si>
  <si>
    <t>CF_SLOPE_B[7:0]</t>
    <phoneticPr fontId="29" type="noConversion"/>
  </si>
  <si>
    <t>HALL_DIFF_GAIN_0</t>
  </si>
  <si>
    <t>HALL_DIFF_GAIN[15:8]</t>
  </si>
  <si>
    <t>HALL_DIFF_GAIN_1</t>
  </si>
  <si>
    <t>HALL_DIFF_GAIN[7:0]</t>
  </si>
  <si>
    <t>HALL_SUM_GAIN</t>
  </si>
  <si>
    <t>HALL_SUM_GAIN[7:0]</t>
    <phoneticPr fontId="29" type="noConversion"/>
  </si>
  <si>
    <t>SL_SETTING</t>
    <phoneticPr fontId="29" type="noConversion"/>
  </si>
  <si>
    <t>SL_TIME[7:4]</t>
    <phoneticPr fontId="29" type="noConversion"/>
  </si>
  <si>
    <t>SL_STEP[3:0]</t>
    <phoneticPr fontId="29" type="noConversion"/>
  </si>
  <si>
    <t>DIVERGENCE_THRESHOLD</t>
    <phoneticPr fontId="29" type="noConversion"/>
  </si>
  <si>
    <t>DIVERGENCE_THRESHOLD[7:0]</t>
    <phoneticPr fontId="29" type="noConversion"/>
  </si>
  <si>
    <t>DIVERGENCE_COUNTSET</t>
  </si>
  <si>
    <t>DIVERGENCE_COUNTSET[7:0]</t>
  </si>
  <si>
    <t>POSITION_LPF_A1_0</t>
    <phoneticPr fontId="29" type="noConversion"/>
  </si>
  <si>
    <t>POSITION_LPF_A1[15:8]</t>
    <phoneticPr fontId="29" type="noConversion"/>
  </si>
  <si>
    <t>POSITION_LPF_A1_1</t>
    <phoneticPr fontId="29" type="noConversion"/>
  </si>
  <si>
    <t>POSITION_LPF_A1[7:0]</t>
    <phoneticPr fontId="29" type="noConversion"/>
  </si>
  <si>
    <t>SETTLINGTIME_THRESHOLD</t>
    <phoneticPr fontId="29" type="noConversion"/>
  </si>
  <si>
    <t>SETTLINGTIME_THRESHOLD[7:0]</t>
    <phoneticPr fontId="29" type="noConversion"/>
  </si>
  <si>
    <t>DD_TIMESET</t>
    <phoneticPr fontId="29" type="noConversion"/>
  </si>
  <si>
    <t>DD_TIMESET[7:0]</t>
    <phoneticPr fontId="29" type="noConversion"/>
  </si>
  <si>
    <t>DD_DACSET[7:0]</t>
    <phoneticPr fontId="29" type="noConversion"/>
  </si>
  <si>
    <t>ALG_STATUS_B</t>
  </si>
  <si>
    <t>ALG_STATUS[7:0]</t>
  </si>
  <si>
    <t>DCT_3_1(BUFFER)</t>
  </si>
  <si>
    <t>DCT</t>
  </si>
  <si>
    <t>DCT[63:56]</t>
  </si>
  <si>
    <t>0xFF</t>
  </si>
  <si>
    <t>B9</t>
  </si>
  <si>
    <t>DCT_3_0(BUFFER)</t>
  </si>
  <si>
    <t>DCT[55:48]</t>
  </si>
  <si>
    <t>DCT_2_1(BUFFER)</t>
  </si>
  <si>
    <t>DCT[47:40]</t>
  </si>
  <si>
    <t>DCT_2_0(BUFFER)</t>
  </si>
  <si>
    <t>DCT[39:32]</t>
  </si>
  <si>
    <t>DCT_1_1(BUFFER)</t>
  </si>
  <si>
    <t>DCT[31:24]</t>
  </si>
  <si>
    <t>DCT_1_0(BUFFER)</t>
  </si>
  <si>
    <t>DCT[23:16]</t>
    <phoneticPr fontId="29" type="noConversion"/>
  </si>
  <si>
    <t>DCT_0_1(BUFFER)</t>
  </si>
  <si>
    <t>DCT[15:8]</t>
  </si>
  <si>
    <t>DCT_0_0(BUFFER)</t>
  </si>
  <si>
    <t>DCT[7:0]</t>
  </si>
  <si>
    <t>SHIFT REGISTER MAP : TRIM</t>
  </si>
  <si>
    <t>VHT/HDAC</t>
  </si>
  <si>
    <t>TM_I2C_BP</t>
  </si>
  <si>
    <t>TM_EFLASH_VREF(PO)</t>
  </si>
  <si>
    <t>TM_DUMMY0 (PO)</t>
  </si>
  <si>
    <t>TM_H_SINK_2 (PO)</t>
  </si>
  <si>
    <t>TM_H_SINK_1 (PO)</t>
  </si>
  <si>
    <t>BGR/LDO/RES</t>
  </si>
  <si>
    <t>TM_OUT2_ON(PO)</t>
  </si>
  <si>
    <t>TM_OUT1_ON(PO)</t>
  </si>
  <si>
    <t>TM_LDO (PO)</t>
  </si>
  <si>
    <t>TM_BGR (PO)</t>
  </si>
  <si>
    <t>TM_RES[2:0] (PO)</t>
  </si>
  <si>
    <t>PT_33</t>
  </si>
  <si>
    <t>UVLO/ADC/HALL/DRV</t>
  </si>
  <si>
    <t>TM_AMP_IN_SRT(PO)</t>
  </si>
  <si>
    <t>TM_DRV_SEL[1:0] (PO)</t>
  </si>
  <si>
    <t>TM_HALL_SEL[1:0] (PO)</t>
  </si>
  <si>
    <t>HALL/ADC</t>
  </si>
  <si>
    <t>TM_H_SOURCE[1:0] (PO)</t>
  </si>
  <si>
    <t>TM_DUMMY1 (PO)</t>
  </si>
  <si>
    <t>TM_DRV_PMOS_SEL(PO)</t>
  </si>
  <si>
    <t>TM_VCM_MEAS (PO)</t>
  </si>
  <si>
    <t>TM_VCM (PO)</t>
  </si>
  <si>
    <t>TM_REFT (PO)</t>
  </si>
  <si>
    <t>TM_REFB (PO)</t>
  </si>
  <si>
    <t>MONITOR</t>
  </si>
  <si>
    <t>TM_MON_EN</t>
  </si>
  <si>
    <t>TM_AMON_EN</t>
    <phoneticPr fontId="29" type="noConversion"/>
  </si>
  <si>
    <t>TM_MON_SEL[3:0]</t>
  </si>
  <si>
    <t>SDM_PRNG_EN</t>
    <phoneticPr fontId="29" type="noConversion"/>
  </si>
  <si>
    <t>TS_EN (PO)</t>
  </si>
  <si>
    <t>DUMMY0_EN (PO)</t>
  </si>
  <si>
    <t>DRV_EN (PO)</t>
  </si>
  <si>
    <t>ADC_EN (PO)</t>
    <phoneticPr fontId="29" type="noConversion"/>
  </si>
  <si>
    <t>AFE_REF_EN(PO)</t>
  </si>
  <si>
    <t>HA_EN (PO)</t>
  </si>
  <si>
    <t>HALL_IF_EN (PO)</t>
  </si>
  <si>
    <t>DUMMY_INT_EN</t>
  </si>
  <si>
    <t>ADC_INT_EN</t>
  </si>
  <si>
    <t>ADC_START</t>
  </si>
  <si>
    <t>AIF(DAC)</t>
    <phoneticPr fontId="29" type="noConversion"/>
  </si>
  <si>
    <t>SDM_IN1[12:5]</t>
    <phoneticPr fontId="29" type="noConversion"/>
  </si>
  <si>
    <t>SDM_IN1[4:0]</t>
    <phoneticPr fontId="29" type="noConversion"/>
  </si>
  <si>
    <t>SDM_IN2[12:5]</t>
    <phoneticPr fontId="29" type="noConversion"/>
  </si>
  <si>
    <t>SDM_IN2[4:0]</t>
    <phoneticPr fontId="29" type="noConversion"/>
  </si>
  <si>
    <t>PERI_EN</t>
    <phoneticPr fontId="29" type="noConversion"/>
  </si>
  <si>
    <t>PERI_RST</t>
  </si>
  <si>
    <t>WU_OSC_CNT_EN</t>
  </si>
  <si>
    <t>MLOAD_DONE</t>
    <phoneticPr fontId="29" type="noConversion"/>
  </si>
  <si>
    <t>STORE_DONE</t>
    <phoneticPr fontId="29" type="noConversion"/>
  </si>
  <si>
    <t>AUTOLOAD_DONE</t>
    <phoneticPr fontId="29" type="noConversion"/>
  </si>
  <si>
    <t>WU_OSC_CNT</t>
  </si>
  <si>
    <t>TS_ADDR(FMC)</t>
  </si>
  <si>
    <t>TS_MODE</t>
  </si>
  <si>
    <t>TS_ADDR[2:0]</t>
  </si>
  <si>
    <t>TS_DATA_1(FMC)</t>
  </si>
  <si>
    <t>TS_DATA[15:8]</t>
  </si>
  <si>
    <t>TS_DATA_0(FMC)</t>
  </si>
  <si>
    <t>TS_DATA[7:0]</t>
  </si>
  <si>
    <t>BIST (FMC)</t>
  </si>
  <si>
    <t>BIST_RUN</t>
    <phoneticPr fontId="29" type="noConversion"/>
  </si>
  <si>
    <t>ALL_0</t>
  </si>
  <si>
    <t>ALL_1</t>
  </si>
  <si>
    <t>CKBD</t>
  </si>
  <si>
    <t>CKBDB</t>
  </si>
  <si>
    <t>BIST_RESULT(FMC)</t>
  </si>
  <si>
    <t>BIST_FAIL</t>
  </si>
  <si>
    <t>ALL_0_DONE</t>
  </si>
  <si>
    <t>ALL_1_DONE</t>
  </si>
  <si>
    <t>CKBD_DONE</t>
  </si>
  <si>
    <t>CKBDB_DONE</t>
  </si>
  <si>
    <t>TEST_CON(FMC)</t>
  </si>
  <si>
    <t>ADC_MUX_SEL[2:0] (PO)</t>
  </si>
  <si>
    <t>SCAN</t>
  </si>
  <si>
    <t>T_SCAN</t>
  </si>
  <si>
    <t>DCT_INIT</t>
  </si>
  <si>
    <t>TEST27</t>
  </si>
  <si>
    <t>UVLO_OFF</t>
  </si>
  <si>
    <t>LDO_OFF</t>
  </si>
  <si>
    <t>DIS_AUTO</t>
  </si>
  <si>
    <t>OSC_OFF</t>
  </si>
  <si>
    <t>TS</t>
  </si>
  <si>
    <t>RED</t>
  </si>
  <si>
    <t>F_DUMMY0[2:0](PO)
(F_TS_GAIN&lt;2:0&gt;)</t>
    <phoneticPr fontId="29" type="noConversion"/>
  </si>
  <si>
    <t>F_TS_TRIM[4:0] (PO)</t>
  </si>
  <si>
    <t>BGR</t>
  </si>
  <si>
    <t>F_ADC_BGR_TRIM[3:0] (PO)</t>
  </si>
  <si>
    <t>F_IBGR[2:0] (PO)</t>
  </si>
  <si>
    <t>OSC</t>
  </si>
  <si>
    <t>F_OSC_PTAT_EN (PO)</t>
  </si>
  <si>
    <t>F_OSC[5:0] (PO)</t>
  </si>
  <si>
    <t>LDO</t>
  </si>
  <si>
    <t>F_NVM_VREF[3:0] (PO)</t>
  </si>
  <si>
    <t>F_LDO_REF[3:0] (PO)</t>
  </si>
  <si>
    <t>VHREF</t>
  </si>
  <si>
    <t>F_VHREF2[3:0] (PO)</t>
  </si>
  <si>
    <t>F_VHREF1[3:0] (PO)</t>
  </si>
  <si>
    <t>UVLO_DRV_AMP</t>
  </si>
  <si>
    <t>F_UVLO_OFF (PO)</t>
  </si>
  <si>
    <t xml:space="preserve">F_DRV_IBC </t>
    <phoneticPr fontId="29" type="noConversion"/>
  </si>
  <si>
    <t>F_HIF_AMP_BIAS[1:0] (PO)</t>
  </si>
  <si>
    <t>DRV OFFSET</t>
  </si>
  <si>
    <t>F_SDM_LSBOFS[1:0]</t>
  </si>
  <si>
    <t>SETTING</t>
  </si>
  <si>
    <t>F_DUMMY1[3:0](PO)</t>
  </si>
  <si>
    <t>F_WU_OSC[1:0] (PO)</t>
  </si>
  <si>
    <t>F_HALL_SPIN_EN(PO)</t>
  </si>
  <si>
    <t>F_ADC_CHOP_EN (PO)</t>
  </si>
  <si>
    <t>0x03</t>
  </si>
  <si>
    <t>ISR_PROG_OFFSET</t>
  </si>
  <si>
    <t>F_ISR_PROG_OFFSET[7:0]</t>
  </si>
  <si>
    <t>DUMMY</t>
  </si>
  <si>
    <t>F_DUMMY2 (PO)</t>
  </si>
  <si>
    <t>DF</t>
  </si>
  <si>
    <t>WEEK</t>
  </si>
  <si>
    <t>F_WEEK[7:0]</t>
  </si>
  <si>
    <t>LDT0</t>
  </si>
  <si>
    <t>F0</t>
  </si>
  <si>
    <t>HALL_SUM_SETTING</t>
    <phoneticPr fontId="1" type="noConversion"/>
  </si>
  <si>
    <t>HALL_SUM_SETTING[7:0]</t>
    <phoneticPr fontId="1" type="noConversion"/>
  </si>
  <si>
    <t>DD_RESULT_B</t>
    <phoneticPr fontId="29" type="noConversion"/>
  </si>
  <si>
    <t>DD_RESULT_B[7:0]</t>
    <phoneticPr fontId="29" type="noConversion"/>
  </si>
  <si>
    <t>MODE_CHECK_B</t>
    <phoneticPr fontId="29" type="noConversion"/>
  </si>
  <si>
    <t>DP_ST_CHECK</t>
    <phoneticPr fontId="1" type="noConversion"/>
  </si>
  <si>
    <t>OUTDIS_CHECK</t>
    <phoneticPr fontId="29" type="noConversion"/>
  </si>
  <si>
    <t>CF_RATIO_A[7:0]</t>
    <phoneticPr fontId="29" type="noConversion"/>
  </si>
  <si>
    <t>CF_RATIO_B[7:0]</t>
    <phoneticPr fontId="29" type="noConversion"/>
  </si>
  <si>
    <t>0x00</t>
    <phoneticPr fontId="1" type="noConversion"/>
  </si>
  <si>
    <t>ADC_R_DATA
ST_TARGET</t>
    <phoneticPr fontId="1" type="noConversion"/>
  </si>
  <si>
    <t>ADC_R_DATA[15:8] / ST_TARGET[15:8]</t>
    <phoneticPr fontId="1" type="noConversion"/>
  </si>
  <si>
    <t>ADC_R_DATA[7:0] / ST_TARGET[7:0]</t>
    <phoneticPr fontId="1" type="noConversion"/>
  </si>
  <si>
    <t>DIVERGENCE_COUNTER</t>
    <phoneticPr fontId="29" type="noConversion"/>
  </si>
  <si>
    <t>DIVERGENCE_COUNTER[7:0]</t>
    <phoneticPr fontId="1" type="noConversion"/>
  </si>
  <si>
    <t>0x01</t>
    <phoneticPr fontId="1" type="noConversion"/>
  </si>
  <si>
    <t>0x00</t>
    <phoneticPr fontId="29" type="noConversion"/>
  </si>
  <si>
    <t>0x60</t>
    <phoneticPr fontId="1" type="noConversion"/>
  </si>
  <si>
    <t>0x40</t>
    <phoneticPr fontId="29" type="noConversion"/>
  </si>
  <si>
    <t>0x00</t>
    <phoneticPr fontId="29" type="noConversion"/>
  </si>
  <si>
    <t>0x10</t>
    <phoneticPr fontId="1" type="noConversion"/>
  </si>
  <si>
    <t>0x10</t>
    <phoneticPr fontId="1" type="noConversion"/>
  </si>
  <si>
    <t>0x10</t>
    <phoneticPr fontId="1" type="noConversion"/>
  </si>
  <si>
    <t>FREE_ACCESS_14</t>
  </si>
  <si>
    <t>FREE_ACCESS_9</t>
  </si>
  <si>
    <t>FREE_ACCESS_10</t>
  </si>
  <si>
    <t>FREE_ACCESS_11</t>
  </si>
  <si>
    <t>FREE_ACCESS_12</t>
  </si>
  <si>
    <t>FREE_ACCESS_13</t>
  </si>
  <si>
    <t>LGACOMP[15:8]</t>
    <phoneticPr fontId="29" type="noConversion"/>
  </si>
  <si>
    <t>LGACOMP[7:0]</t>
    <phoneticPr fontId="29" type="noConversion"/>
  </si>
  <si>
    <t>I_GAIN[15:8]</t>
    <phoneticPr fontId="29" type="noConversion"/>
  </si>
  <si>
    <t>D_GAIN[7:0]</t>
    <phoneticPr fontId="29" type="noConversion"/>
  </si>
  <si>
    <t>LPF1_A1[7:0]</t>
    <phoneticPr fontId="29" type="noConversion"/>
  </si>
  <si>
    <t>LPF2_A1[15:8]</t>
    <phoneticPr fontId="29" type="noConversion"/>
  </si>
  <si>
    <t>LPF2_A1[7:0]</t>
    <phoneticPr fontId="29" type="noConversion"/>
  </si>
  <si>
    <t>D_LPF[7:0]</t>
    <phoneticPr fontId="29" type="noConversion"/>
  </si>
  <si>
    <t>DACBUFFER</t>
    <phoneticPr fontId="29" type="noConversion"/>
  </si>
  <si>
    <t>ERROR</t>
    <phoneticPr fontId="29" type="noConversion"/>
  </si>
  <si>
    <t>FEEDBACK_0</t>
    <phoneticPr fontId="29" type="noConversion"/>
  </si>
  <si>
    <t>FREE_ACCESS_8</t>
    <phoneticPr fontId="1" type="noConversion"/>
  </si>
  <si>
    <t>FREE_ACCESS_7</t>
    <phoneticPr fontId="1" type="noConversion"/>
  </si>
  <si>
    <t>FREE_ACCESS_6</t>
    <phoneticPr fontId="1" type="noConversion"/>
  </si>
  <si>
    <t>FREE_ACCESS_5</t>
    <phoneticPr fontId="1" type="noConversion"/>
  </si>
  <si>
    <t>FREE_ACCESS_4</t>
    <phoneticPr fontId="1" type="noConversion"/>
  </si>
  <si>
    <t>FREE_ACCESS_3</t>
    <phoneticPr fontId="1" type="noConversion"/>
  </si>
  <si>
    <t>FREE_ACCESS_2</t>
    <phoneticPr fontId="1" type="noConversion"/>
  </si>
  <si>
    <t>FREE_ACCESS_1</t>
    <phoneticPr fontId="1" type="noConversion"/>
  </si>
  <si>
    <t>FREE_ACCESS_0</t>
    <phoneticPr fontId="1" type="noConversion"/>
  </si>
  <si>
    <t>FREE_ACCESS_0</t>
    <phoneticPr fontId="1" type="noConversion"/>
  </si>
  <si>
    <t>FREE_ACCESS_1</t>
    <phoneticPr fontId="1" type="noConversion"/>
  </si>
  <si>
    <t>FREE_ACCESS_2</t>
    <phoneticPr fontId="1" type="noConversion"/>
  </si>
  <si>
    <t>FREE_ACCESS_3</t>
    <phoneticPr fontId="1" type="noConversion"/>
  </si>
  <si>
    <t>FREE_ACCESS_4</t>
    <phoneticPr fontId="1" type="noConversion"/>
  </si>
  <si>
    <t>FREE_ACCESS_5</t>
    <phoneticPr fontId="1" type="noConversion"/>
  </si>
  <si>
    <t>FREE_ACCESS_7</t>
    <phoneticPr fontId="1" type="noConversion"/>
  </si>
  <si>
    <t>FREE_ACCESS_8</t>
    <phoneticPr fontId="1" type="noConversion"/>
  </si>
  <si>
    <t>COUNT_BUFFER_0</t>
    <phoneticPr fontId="29" type="noConversion"/>
  </si>
  <si>
    <t>COUNT_BUFFER_1</t>
    <phoneticPr fontId="29" type="noConversion"/>
  </si>
  <si>
    <t>COUNT_BUFFER[15:8]</t>
    <phoneticPr fontId="29" type="noConversion"/>
  </si>
  <si>
    <t>COUNT_BUFFER[7:0]</t>
    <phoneticPr fontId="29" type="noConversion"/>
  </si>
  <si>
    <t>ALG_SLOPE_0</t>
    <phoneticPr fontId="29" type="noConversion"/>
  </si>
  <si>
    <t>ALG_SLOPE_1</t>
    <phoneticPr fontId="29" type="noConversion"/>
  </si>
  <si>
    <t>ALG_SLOPE[15:8]</t>
    <phoneticPr fontId="29" type="noConversion"/>
  </si>
  <si>
    <t>ALG_SLOPE[7:0]</t>
    <phoneticPr fontId="29" type="noConversion"/>
  </si>
  <si>
    <t>ALG_MODE_P[7:0]</t>
    <phoneticPr fontId="29" type="noConversion"/>
  </si>
  <si>
    <t>NALG_TARGET_P[7:0]</t>
    <phoneticPr fontId="29" type="noConversion"/>
  </si>
  <si>
    <t>NALG_COUNTER</t>
    <phoneticPr fontId="29" type="noConversion"/>
  </si>
  <si>
    <t>PID_OUT_TEMP</t>
    <phoneticPr fontId="29" type="noConversion"/>
  </si>
  <si>
    <t>PID_OUT_TEMP15:8]</t>
    <phoneticPr fontId="29" type="noConversion"/>
  </si>
  <si>
    <t>PID_OUT_TEMP[7:0]</t>
    <phoneticPr fontId="29" type="noConversion"/>
  </si>
  <si>
    <t>NALG_COUNTER[15:8]</t>
    <phoneticPr fontId="29" type="noConversion"/>
  </si>
  <si>
    <t>NALG_COUNTER[7:0]</t>
    <phoneticPr fontId="29" type="noConversion"/>
  </si>
  <si>
    <t>R</t>
    <phoneticPr fontId="29" type="noConversion"/>
  </si>
  <si>
    <t>NOISE_REDUCTION_GAIN[7:0]</t>
    <phoneticPr fontId="29" type="noConversion"/>
  </si>
  <si>
    <t>ANTIWIND_GAIN[7:0]</t>
    <phoneticPr fontId="1" type="noConversion"/>
  </si>
  <si>
    <t>NOISE_REDUCTION_TH[7:0]</t>
    <phoneticPr fontId="29" type="noConversion"/>
  </si>
  <si>
    <t>NOISE_REDUCTION_TIME[7:0]</t>
    <phoneticPr fontId="1" type="noConversion"/>
  </si>
  <si>
    <t>DD_GAIN_RATIO</t>
    <phoneticPr fontId="29" type="noConversion"/>
  </si>
  <si>
    <t>ALG_GAIN</t>
    <phoneticPr fontId="29" type="noConversion"/>
  </si>
  <si>
    <t>ALG_TH_LOW</t>
    <phoneticPr fontId="29" type="noConversion"/>
  </si>
  <si>
    <t>ALG_TH_HIGH</t>
    <phoneticPr fontId="29" type="noConversion"/>
  </si>
  <si>
    <t>ALG_OFF_TH</t>
    <phoneticPr fontId="29" type="noConversion"/>
  </si>
  <si>
    <t>CF_RATIO_A</t>
    <phoneticPr fontId="29" type="noConversion"/>
  </si>
  <si>
    <t>CF_RATIO_B</t>
    <phoneticPr fontId="29" type="noConversion"/>
  </si>
  <si>
    <t>NOISE_REDUCTION_TH</t>
    <phoneticPr fontId="29" type="noConversion"/>
  </si>
  <si>
    <t>NOISE_REDUCTION_TIME</t>
    <phoneticPr fontId="29" type="noConversion"/>
  </si>
  <si>
    <t>NOISE_REDUCTION_GAIN</t>
    <phoneticPr fontId="29" type="noConversion"/>
  </si>
  <si>
    <t>ANTIWIND_GAIN</t>
    <phoneticPr fontId="29" type="noConversion"/>
  </si>
  <si>
    <t>ALG_GAIN[7:0]</t>
    <phoneticPr fontId="29" type="noConversion"/>
  </si>
  <si>
    <t>ALG_TH_LOW[7:0]</t>
    <phoneticPr fontId="29" type="noConversion"/>
  </si>
  <si>
    <t>ALG_TH_HIGH[7:0]</t>
    <phoneticPr fontId="29" type="noConversion"/>
  </si>
  <si>
    <t>ALG_OFF_TH[7:0]</t>
    <phoneticPr fontId="29" type="noConversion"/>
  </si>
  <si>
    <t>CF_LPF_A1</t>
    <phoneticPr fontId="29" type="noConversion"/>
  </si>
  <si>
    <t>DD_DIRCHECK</t>
    <phoneticPr fontId="29" type="noConversion"/>
  </si>
  <si>
    <t>CF_LPF_A1[7:0]</t>
    <phoneticPr fontId="29" type="noConversion"/>
  </si>
  <si>
    <t>DD_DIRCHECK[7:0]</t>
    <phoneticPr fontId="29" type="noConversion"/>
  </si>
  <si>
    <t>0x00</t>
    <phoneticPr fontId="1" type="noConversion"/>
  </si>
  <si>
    <t>0x10</t>
    <phoneticPr fontId="1" type="noConversion"/>
  </si>
  <si>
    <t>0x00</t>
    <phoneticPr fontId="1" type="noConversion"/>
  </si>
  <si>
    <t>0xD2</t>
    <phoneticPr fontId="29" type="noConversion"/>
  </si>
  <si>
    <t>NALG_TARGET,OSC_GAIN</t>
    <phoneticPr fontId="29" type="noConversion"/>
  </si>
  <si>
    <t>ALG_TARGET</t>
    <phoneticPr fontId="29" type="noConversion"/>
  </si>
  <si>
    <t>RM_FLAG, PLANT_FRA</t>
    <phoneticPr fontId="29" type="noConversion"/>
  </si>
  <si>
    <t>SAL_MODE[1:0]</t>
    <phoneticPr fontId="29" type="noConversion"/>
  </si>
  <si>
    <t>31kHz</t>
    <phoneticPr fontId="1" type="noConversion"/>
  </si>
  <si>
    <t>0x00</t>
    <phoneticPr fontId="29" type="noConversion"/>
  </si>
  <si>
    <t>FRA_LIN_EN</t>
    <phoneticPr fontId="1" type="noConversion"/>
  </si>
  <si>
    <t>FRA_CF_EN</t>
    <phoneticPr fontId="1" type="noConversion"/>
  </si>
  <si>
    <t>0x88</t>
    <phoneticPr fontId="1" type="noConversion"/>
  </si>
  <si>
    <t>0x88</t>
    <phoneticPr fontId="1" type="noConversion"/>
  </si>
  <si>
    <t>0xD1</t>
    <phoneticPr fontId="29" type="noConversion"/>
  </si>
  <si>
    <t>DW9827C REGISTER MAP
FW Ver : D104</t>
    <phoneticPr fontId="29" type="noConversion"/>
  </si>
  <si>
    <t>DW9827C REGISTER MAP : Cal
FW Ver : D104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</si>
</sst>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);[Red]\(0.000\)"/>
    <numFmt numFmtId="177" formatCode="m/d/yyyy"/>
  </numFmts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b/>
      <sz val="10"/>
      <color rgb="FFFFFF00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2"/>
      <charset val="129"/>
    </font>
    <font>
      <b/>
      <sz val="10"/>
      <color rgb="FFFF00FF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006100"/>
      <name val="맑은 고딕"/>
      <family val="2"/>
      <charset val="129"/>
    </font>
    <font>
      <sz val="10"/>
      <color rgb="FF0000FF"/>
      <name val="맑은 고딕"/>
      <family val="3"/>
      <charset val="129"/>
    </font>
    <font>
      <b/>
      <sz val="10"/>
      <color rgb="FFCC0000"/>
      <name val="맑은 고딕"/>
      <family val="3"/>
      <charset val="129"/>
    </font>
    <font>
      <sz val="10"/>
      <color rgb="FF000000"/>
      <name val="AR PL UMing HK"/>
      <family val="2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FFFF"/>
        <bgColor rgb="FFEBF1DE"/>
      </patternFill>
    </fill>
    <fill>
      <patternFill patternType="solid">
        <fgColor rgb="FFFFC000"/>
        <bgColor rgb="FFFF9900"/>
      </patternFill>
    </fill>
    <fill>
      <patternFill patternType="solid">
        <fgColor rgb="FFEBF1DE"/>
        <bgColor rgb="FFDCE6F2"/>
      </patternFill>
    </fill>
    <fill>
      <patternFill patternType="solid">
        <fgColor rgb="FFD9D9D9"/>
        <bgColor rgb="FFD7E4BD"/>
      </patternFill>
    </fill>
    <fill>
      <patternFill patternType="solid">
        <fgColor rgb="FFDCE6F2"/>
        <bgColor rgb="FFD9D9D9"/>
      </patternFill>
    </fill>
    <fill>
      <patternFill patternType="solid">
        <fgColor rgb="FFC6EFCE"/>
        <bgColor rgb="FFD7E4B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CE6F2"/>
      </patternFill>
    </fill>
    <fill>
      <patternFill patternType="solid">
        <fgColor rgb="FFFCD5B5"/>
        <bgColor rgb="FFF2DCDB"/>
      </patternFill>
    </fill>
    <fill>
      <patternFill patternType="solid">
        <fgColor rgb="FFD7E4BD"/>
        <bgColor rgb="FFD9D9D9"/>
      </patternFill>
    </fill>
    <fill>
      <patternFill patternType="solid">
        <fgColor rgb="FFB9CDE5"/>
        <bgColor rgb="FFCCCCCC"/>
      </patternFill>
    </fill>
    <fill>
      <patternFill patternType="solid">
        <fgColor rgb="FFF2DCDB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C0000"/>
      </patternFill>
    </fill>
    <fill>
      <patternFill patternType="solid">
        <fgColor theme="0"/>
        <bgColor rgb="FFFFFF00"/>
      </patternFill>
    </fill>
    <fill>
      <patternFill patternType="solid">
        <fgColor theme="6" tint="0.79998168889431442"/>
        <bgColor rgb="FFDCE6F2"/>
      </patternFill>
    </fill>
    <fill>
      <patternFill patternType="solid">
        <fgColor theme="0"/>
        <bgColor rgb="FFEBF1DE"/>
      </patternFill>
    </fill>
  </fills>
  <borders count="6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thin">
        <color theme="1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26" fillId="0" borderId="0"/>
    <xf numFmtId="0" fontId="32" fillId="14" borderId="0" applyBorder="0" applyProtection="0">
      <alignment vertical="center"/>
    </xf>
    <xf numFmtId="0" fontId="42" fillId="0" borderId="0">
      <alignment vertical="center"/>
    </xf>
  </cellStyleXfs>
  <cellXfs count="387">
    <xf numFmtId="0" fontId="0" fillId="0" borderId="0" xfId="0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21" xfId="0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right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16" fillId="0" borderId="28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0" fillId="0" borderId="28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14" xfId="0" applyBorder="1" applyAlignment="1">
      <alignment horizontal="right" vertical="center"/>
    </xf>
    <xf numFmtId="0" fontId="0" fillId="2" borderId="30" xfId="0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39" xfId="0" applyFill="1" applyBorder="1">
      <alignment vertical="center"/>
    </xf>
    <xf numFmtId="0" fontId="0" fillId="0" borderId="1" xfId="0" applyFill="1" applyBorder="1" applyAlignment="1">
      <alignment horizontal="right"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0" borderId="41" xfId="0" applyFont="1" applyFill="1" applyBorder="1">
      <alignment vertical="center"/>
    </xf>
    <xf numFmtId="0" fontId="0" fillId="0" borderId="41" xfId="0" applyFill="1" applyBorder="1">
      <alignment vertical="center"/>
    </xf>
    <xf numFmtId="0" fontId="0" fillId="0" borderId="43" xfId="0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1" xfId="0" applyBorder="1" applyAlignment="1">
      <alignment horizontal="right" vertical="center"/>
    </xf>
    <xf numFmtId="0" fontId="17" fillId="0" borderId="41" xfId="0" applyFont="1" applyBorder="1">
      <alignment vertical="center"/>
    </xf>
    <xf numFmtId="0" fontId="0" fillId="0" borderId="41" xfId="0" applyBorder="1">
      <alignment vertical="center"/>
    </xf>
    <xf numFmtId="0" fontId="0" fillId="0" borderId="44" xfId="0" applyBorder="1" applyAlignment="1">
      <alignment horizontal="center" vertical="center"/>
    </xf>
    <xf numFmtId="0" fontId="17" fillId="0" borderId="15" xfId="0" applyFont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17" fillId="0" borderId="46" xfId="0" applyFont="1" applyBorder="1" applyAlignment="1">
      <alignment horizontal="right" vertical="center"/>
    </xf>
    <xf numFmtId="0" fontId="0" fillId="2" borderId="47" xfId="0" applyFill="1" applyBorder="1" applyAlignment="1">
      <alignment vertical="center"/>
    </xf>
    <xf numFmtId="0" fontId="17" fillId="0" borderId="49" xfId="0" applyFont="1" applyBorder="1" applyAlignment="1">
      <alignment horizontal="right" vertical="center"/>
    </xf>
    <xf numFmtId="0" fontId="17" fillId="0" borderId="43" xfId="0" applyFont="1" applyBorder="1" applyAlignment="1">
      <alignment vertical="center"/>
    </xf>
    <xf numFmtId="0" fontId="0" fillId="0" borderId="51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21" fillId="0" borderId="44" xfId="0" applyFont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21" fillId="3" borderId="44" xfId="0" applyFont="1" applyFill="1" applyBorder="1" applyAlignment="1">
      <alignment horizontal="center" vertical="center"/>
    </xf>
    <xf numFmtId="0" fontId="21" fillId="0" borderId="44" xfId="0" applyFont="1" applyFill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0" fillId="0" borderId="55" xfId="0" applyBorder="1">
      <alignment vertical="center"/>
    </xf>
    <xf numFmtId="0" fontId="0" fillId="0" borderId="56" xfId="0" applyBorder="1" applyAlignment="1">
      <alignment horizontal="right" vertical="center"/>
    </xf>
    <xf numFmtId="0" fontId="0" fillId="2" borderId="57" xfId="0" applyFill="1" applyBorder="1" applyAlignment="1">
      <alignment vertical="center"/>
    </xf>
    <xf numFmtId="0" fontId="0" fillId="2" borderId="58" xfId="0" applyFill="1" applyBorder="1" applyAlignment="1">
      <alignment vertical="center"/>
    </xf>
    <xf numFmtId="0" fontId="0" fillId="2" borderId="56" xfId="0" applyFill="1" applyBorder="1" applyAlignment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3" borderId="65" xfId="0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/>
    </xf>
    <xf numFmtId="0" fontId="0" fillId="0" borderId="0" xfId="0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12" fillId="4" borderId="0" xfId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>
      <alignment vertical="center"/>
    </xf>
    <xf numFmtId="0" fontId="2" fillId="4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12" fillId="4" borderId="0" xfId="1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0" fontId="27" fillId="9" borderId="9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28" fillId="9" borderId="0" xfId="0" applyFont="1" applyFill="1" applyAlignment="1">
      <alignment vertical="center"/>
    </xf>
    <xf numFmtId="0" fontId="27" fillId="9" borderId="12" xfId="0" applyFont="1" applyFill="1" applyBorder="1" applyAlignment="1">
      <alignment horizontal="center" vertical="center"/>
    </xf>
    <xf numFmtId="0" fontId="27" fillId="9" borderId="10" xfId="0" applyFont="1" applyFill="1" applyBorder="1" applyAlignment="1">
      <alignment horizontal="left" vertical="center"/>
    </xf>
    <xf numFmtId="0" fontId="27" fillId="9" borderId="13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left" vertical="center"/>
    </xf>
    <xf numFmtId="0" fontId="27" fillId="13" borderId="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7" fillId="11" borderId="2" xfId="0" applyFont="1" applyFill="1" applyBorder="1" applyAlignment="1">
      <alignment horizontal="center" vertical="center"/>
    </xf>
    <xf numFmtId="177" fontId="27" fillId="9" borderId="0" xfId="0" applyNumberFormat="1" applyFont="1" applyFill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7" fillId="11" borderId="5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13" borderId="3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7" fillId="13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1" borderId="6" xfId="0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27" fillId="9" borderId="20" xfId="0" applyFont="1" applyFill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7" fillId="9" borderId="3" xfId="0" applyFont="1" applyFill="1" applyBorder="1" applyAlignment="1">
      <alignment horizontal="center" vertical="center"/>
    </xf>
    <xf numFmtId="0" fontId="27" fillId="11" borderId="8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15" borderId="3" xfId="3" applyFont="1" applyFill="1" applyBorder="1" applyAlignment="1" applyProtection="1">
      <alignment vertical="center"/>
    </xf>
    <xf numFmtId="0" fontId="27" fillId="15" borderId="3" xfId="0" applyFont="1" applyFill="1" applyBorder="1" applyAlignment="1">
      <alignment horizontal="center" vertical="center"/>
    </xf>
    <xf numFmtId="0" fontId="27" fillId="16" borderId="8" xfId="0" applyFont="1" applyFill="1" applyBorder="1" applyAlignment="1">
      <alignment horizontal="center" vertical="center"/>
    </xf>
    <xf numFmtId="0" fontId="27" fillId="13" borderId="8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/>
    </xf>
    <xf numFmtId="0" fontId="27" fillId="0" borderId="7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31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27" fillId="11" borderId="2" xfId="0" applyFont="1" applyFill="1" applyBorder="1" applyAlignment="1">
      <alignment vertical="center"/>
    </xf>
    <xf numFmtId="0" fontId="28" fillId="9" borderId="2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17" borderId="2" xfId="3" applyFont="1" applyFill="1" applyBorder="1" applyAlignment="1">
      <alignment horizontal="center" vertical="center"/>
    </xf>
    <xf numFmtId="0" fontId="27" fillId="9" borderId="2" xfId="3" applyFont="1" applyFill="1" applyBorder="1" applyAlignment="1">
      <alignment horizontal="center" vertical="center"/>
    </xf>
    <xf numFmtId="0" fontId="27" fillId="18" borderId="2" xfId="3" applyFont="1" applyFill="1" applyBorder="1" applyAlignment="1">
      <alignment horizontal="center" vertical="center"/>
    </xf>
    <xf numFmtId="0" fontId="27" fillId="9" borderId="2" xfId="3" applyFont="1" applyFill="1" applyBorder="1" applyAlignment="1">
      <alignment vertical="center"/>
    </xf>
    <xf numFmtId="0" fontId="27" fillId="19" borderId="2" xfId="3" applyFont="1" applyFill="1" applyBorder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31" fillId="0" borderId="2" xfId="0" applyFont="1" applyBorder="1" applyAlignment="1">
      <alignment vertical="center"/>
    </xf>
    <xf numFmtId="0" fontId="27" fillId="9" borderId="16" xfId="0" applyFont="1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0" fontId="27" fillId="11" borderId="2" xfId="3" applyFont="1" applyFill="1" applyBorder="1" applyAlignment="1" applyProtection="1">
      <alignment horizontal="center" vertical="center" wrapText="1"/>
    </xf>
    <xf numFmtId="0" fontId="31" fillId="11" borderId="2" xfId="3" applyFont="1" applyFill="1" applyBorder="1" applyAlignment="1" applyProtection="1">
      <alignment horizontal="center" vertical="center"/>
    </xf>
    <xf numFmtId="0" fontId="27" fillId="9" borderId="17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vertical="center"/>
    </xf>
    <xf numFmtId="0" fontId="27" fillId="11" borderId="2" xfId="3" applyFont="1" applyFill="1" applyBorder="1" applyAlignment="1" applyProtection="1">
      <alignment horizontal="center" vertical="center"/>
    </xf>
    <xf numFmtId="0" fontId="27" fillId="9" borderId="16" xfId="0" applyFont="1" applyFill="1" applyBorder="1" applyAlignment="1">
      <alignment vertical="center"/>
    </xf>
    <xf numFmtId="0" fontId="27" fillId="11" borderId="0" xfId="0" applyFont="1" applyFill="1" applyAlignment="1">
      <alignment horizontal="center" vertical="center"/>
    </xf>
    <xf numFmtId="0" fontId="36" fillId="11" borderId="2" xfId="0" applyFont="1" applyFill="1" applyBorder="1" applyAlignment="1">
      <alignment horizontal="center" vertical="center"/>
    </xf>
    <xf numFmtId="0" fontId="30" fillId="11" borderId="2" xfId="3" applyFont="1" applyFill="1" applyBorder="1" applyAlignment="1" applyProtection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7" fillId="0" borderId="2" xfId="3" applyFont="1" applyFill="1" applyBorder="1" applyAlignment="1" applyProtection="1">
      <alignment vertical="center"/>
    </xf>
    <xf numFmtId="0" fontId="38" fillId="11" borderId="2" xfId="0" applyFont="1" applyFill="1" applyBorder="1" applyAlignment="1">
      <alignment horizontal="center" vertical="center"/>
    </xf>
    <xf numFmtId="0" fontId="39" fillId="11" borderId="2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27" fillId="0" borderId="2" xfId="0" applyFont="1" applyFill="1" applyBorder="1" applyAlignment="1">
      <alignment horizontal="center" vertical="center"/>
    </xf>
    <xf numFmtId="0" fontId="40" fillId="9" borderId="0" xfId="0" applyFont="1" applyFill="1" applyAlignment="1">
      <alignment horizontal="left" vertical="center"/>
    </xf>
    <xf numFmtId="0" fontId="27" fillId="0" borderId="2" xfId="0" applyFont="1" applyFill="1" applyBorder="1" applyAlignment="1">
      <alignment vertical="center"/>
    </xf>
    <xf numFmtId="0" fontId="27" fillId="13" borderId="1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9" borderId="0" xfId="0" applyFont="1" applyFill="1" applyBorder="1" applyAlignment="1">
      <alignment horizontal="center" vertical="center"/>
    </xf>
    <xf numFmtId="0" fontId="30" fillId="11" borderId="5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 wrapText="1"/>
    </xf>
    <xf numFmtId="0" fontId="27" fillId="9" borderId="18" xfId="0" applyFont="1" applyFill="1" applyBorder="1" applyAlignment="1">
      <alignment horizontal="center" vertical="center"/>
    </xf>
    <xf numFmtId="0" fontId="31" fillId="17" borderId="2" xfId="3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7" fillId="9" borderId="9" xfId="0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7" fillId="9" borderId="10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27" fillId="21" borderId="2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21" borderId="2" xfId="0" applyFont="1" applyFill="1" applyBorder="1" applyAlignment="1">
      <alignment horizontal="center" vertical="center" wrapText="1"/>
    </xf>
    <xf numFmtId="0" fontId="27" fillId="21" borderId="5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 wrapText="1"/>
    </xf>
    <xf numFmtId="0" fontId="27" fillId="21" borderId="6" xfId="0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0" fontId="36" fillId="21" borderId="2" xfId="0" applyFont="1" applyFill="1" applyBorder="1" applyAlignment="1">
      <alignment horizontal="center" vertical="center"/>
    </xf>
    <xf numFmtId="0" fontId="36" fillId="21" borderId="2" xfId="0" applyFont="1" applyFill="1" applyBorder="1" applyAlignment="1">
      <alignment horizontal="center" vertical="center" wrapText="1"/>
    </xf>
    <xf numFmtId="0" fontId="41" fillId="23" borderId="2" xfId="0" applyFont="1" applyFill="1" applyBorder="1" applyAlignment="1">
      <alignment horizontal="center" vertical="center"/>
    </xf>
    <xf numFmtId="0" fontId="36" fillId="0" borderId="2" xfId="0" applyFont="1" applyBorder="1" applyAlignment="1">
      <alignment vertical="center"/>
    </xf>
    <xf numFmtId="0" fontId="27" fillId="0" borderId="6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27" fillId="21" borderId="2" xfId="3" applyFont="1" applyFill="1" applyBorder="1" applyAlignment="1">
      <alignment horizontal="center" vertical="center"/>
    </xf>
    <xf numFmtId="0" fontId="27" fillId="0" borderId="2" xfId="3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 vertical="center"/>
    </xf>
    <xf numFmtId="0" fontId="36" fillId="21" borderId="2" xfId="3" applyFont="1" applyFill="1" applyBorder="1" applyAlignment="1">
      <alignment horizontal="center" vertical="center"/>
    </xf>
    <xf numFmtId="0" fontId="27" fillId="20" borderId="2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36" fillId="20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vertical="center"/>
    </xf>
    <xf numFmtId="0" fontId="27" fillId="0" borderId="2" xfId="0" applyFont="1" applyBorder="1" applyAlignment="1">
      <alignment vertical="center" wrapText="1"/>
    </xf>
    <xf numFmtId="0" fontId="41" fillId="9" borderId="2" xfId="0" applyFont="1" applyFill="1" applyBorder="1" applyAlignment="1">
      <alignment horizontal="center" vertical="center"/>
    </xf>
    <xf numFmtId="0" fontId="27" fillId="20" borderId="6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11" borderId="2" xfId="3" applyFont="1" applyFill="1" applyBorder="1" applyAlignment="1" applyProtection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7" fillId="11" borderId="2" xfId="3" applyFont="1" applyFill="1" applyBorder="1" applyAlignment="1" applyProtection="1">
      <alignment horizontal="center" vertical="center"/>
    </xf>
    <xf numFmtId="0" fontId="0" fillId="4" borderId="0" xfId="0" applyFill="1">
      <alignment vertical="center"/>
    </xf>
    <xf numFmtId="0" fontId="27" fillId="25" borderId="11" xfId="0" applyFont="1" applyFill="1" applyBorder="1" applyAlignment="1">
      <alignment horizontal="center" vertical="center"/>
    </xf>
    <xf numFmtId="0" fontId="27" fillId="25" borderId="9" xfId="0" applyFont="1" applyFill="1" applyBorder="1" applyAlignment="1">
      <alignment horizontal="left" vertical="center"/>
    </xf>
    <xf numFmtId="0" fontId="27" fillId="25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 applyBorder="1" applyAlignment="1">
      <alignment horizontal="center" vertical="center"/>
    </xf>
    <xf numFmtId="0" fontId="27" fillId="4" borderId="0" xfId="0" applyFont="1" applyFill="1" applyBorder="1" applyAlignment="1">
      <alignment vertical="center"/>
    </xf>
    <xf numFmtId="0" fontId="28" fillId="25" borderId="0" xfId="0" applyFont="1" applyFill="1" applyAlignment="1">
      <alignment vertical="center"/>
    </xf>
    <xf numFmtId="0" fontId="27" fillId="25" borderId="12" xfId="0" applyFont="1" applyFill="1" applyBorder="1" applyAlignment="1">
      <alignment horizontal="center" vertical="center"/>
    </xf>
    <xf numFmtId="0" fontId="27" fillId="25" borderId="10" xfId="0" applyFont="1" applyFill="1" applyBorder="1" applyAlignment="1">
      <alignment horizontal="left" vertical="center"/>
    </xf>
    <xf numFmtId="0" fontId="27" fillId="25" borderId="13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/>
    </xf>
    <xf numFmtId="177" fontId="27" fillId="25" borderId="0" xfId="0" applyNumberFormat="1" applyFont="1" applyFill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7" fillId="13" borderId="2" xfId="0" applyFont="1" applyFill="1" applyBorder="1" applyAlignment="1">
      <alignment horizontal="center" vertical="center"/>
    </xf>
    <xf numFmtId="0" fontId="27" fillId="17" borderId="2" xfId="3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9" borderId="5" xfId="0" applyFont="1" applyFill="1" applyBorder="1" applyAlignment="1">
      <alignment horizontal="center" vertical="center"/>
    </xf>
    <xf numFmtId="0" fontId="28" fillId="9" borderId="7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7" fillId="17" borderId="5" xfId="3" applyFont="1" applyFill="1" applyBorder="1" applyAlignment="1">
      <alignment horizontal="center" vertical="center"/>
    </xf>
    <xf numFmtId="0" fontId="27" fillId="17" borderId="7" xfId="3" applyFont="1" applyFill="1" applyBorder="1" applyAlignment="1">
      <alignment horizontal="center" vertical="center"/>
    </xf>
    <xf numFmtId="0" fontId="27" fillId="17" borderId="1" xfId="3" applyFont="1" applyFill="1" applyBorder="1" applyAlignment="1">
      <alignment horizontal="center" vertical="center"/>
    </xf>
    <xf numFmtId="0" fontId="27" fillId="11" borderId="6" xfId="0" applyFont="1" applyFill="1" applyBorder="1" applyAlignment="1">
      <alignment horizontal="center" vertical="center"/>
    </xf>
    <xf numFmtId="0" fontId="27" fillId="11" borderId="3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12" borderId="0" xfId="0" applyFont="1" applyFill="1" applyBorder="1" applyAlignment="1">
      <alignment horizontal="center" vertical="center" wrapText="1"/>
    </xf>
    <xf numFmtId="0" fontId="28" fillId="12" borderId="0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 wrapText="1"/>
    </xf>
    <xf numFmtId="0" fontId="27" fillId="13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4" borderId="0" xfId="1" applyFont="1" applyFill="1" applyBorder="1" applyAlignment="1">
      <alignment horizontal="center" vertical="center"/>
    </xf>
    <xf numFmtId="0" fontId="31" fillId="11" borderId="2" xfId="3" applyFont="1" applyFill="1" applyBorder="1" applyAlignment="1" applyProtection="1">
      <alignment horizontal="center" vertical="center"/>
    </xf>
    <xf numFmtId="0" fontId="27" fillId="11" borderId="2" xfId="3" applyFont="1" applyFill="1" applyBorder="1" applyAlignment="1" applyProtection="1">
      <alignment horizontal="center" vertical="center"/>
    </xf>
    <xf numFmtId="0" fontId="31" fillId="11" borderId="5" xfId="3" applyFont="1" applyFill="1" applyBorder="1" applyAlignment="1" applyProtection="1">
      <alignment horizontal="center" vertical="center"/>
    </xf>
    <xf numFmtId="0" fontId="31" fillId="11" borderId="7" xfId="3" applyFont="1" applyFill="1" applyBorder="1" applyAlignment="1" applyProtection="1">
      <alignment horizontal="center" vertical="center"/>
    </xf>
    <xf numFmtId="0" fontId="31" fillId="11" borderId="1" xfId="3" applyFont="1" applyFill="1" applyBorder="1" applyAlignment="1" applyProtection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 wrapText="1"/>
    </xf>
    <xf numFmtId="0" fontId="27" fillId="11" borderId="5" xfId="3" applyFont="1" applyFill="1" applyBorder="1" applyAlignment="1" applyProtection="1">
      <alignment horizontal="center" vertical="center" wrapText="1"/>
    </xf>
    <xf numFmtId="0" fontId="27" fillId="11" borderId="1" xfId="3" applyFont="1" applyFill="1" applyBorder="1" applyAlignment="1" applyProtection="1">
      <alignment horizontal="center" vertical="center" wrapText="1"/>
    </xf>
    <xf numFmtId="0" fontId="27" fillId="9" borderId="19" xfId="0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30" fillId="11" borderId="5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7" fillId="11" borderId="5" xfId="0" applyFont="1" applyFill="1" applyBorder="1" applyAlignment="1">
      <alignment horizontal="center" vertical="center"/>
    </xf>
    <xf numFmtId="0" fontId="27" fillId="11" borderId="7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30" fillId="11" borderId="7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0" fontId="27" fillId="11" borderId="7" xfId="3" applyFont="1" applyFill="1" applyBorder="1" applyAlignment="1" applyProtection="1">
      <alignment horizontal="center" vertical="center" wrapText="1"/>
    </xf>
    <xf numFmtId="0" fontId="31" fillId="17" borderId="2" xfId="3" applyFont="1" applyFill="1" applyBorder="1" applyAlignment="1">
      <alignment horizontal="center" vertical="center"/>
    </xf>
    <xf numFmtId="0" fontId="27" fillId="20" borderId="2" xfId="0" applyFont="1" applyFill="1" applyBorder="1" applyAlignment="1">
      <alignment horizontal="center" vertical="center"/>
    </xf>
    <xf numFmtId="0" fontId="27" fillId="13" borderId="5" xfId="0" applyFont="1" applyFill="1" applyBorder="1" applyAlignment="1">
      <alignment horizontal="center" vertical="center"/>
    </xf>
    <xf numFmtId="0" fontId="27" fillId="13" borderId="7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24" borderId="5" xfId="3" applyFont="1" applyFill="1" applyBorder="1" applyAlignment="1" applyProtection="1">
      <alignment horizontal="center" vertical="center" wrapText="1"/>
    </xf>
    <xf numFmtId="0" fontId="27" fillId="24" borderId="7" xfId="3" applyFont="1" applyFill="1" applyBorder="1" applyAlignment="1" applyProtection="1">
      <alignment horizontal="center" vertical="center" wrapText="1"/>
    </xf>
    <xf numFmtId="0" fontId="27" fillId="24" borderId="1" xfId="3" applyFont="1" applyFill="1" applyBorder="1" applyAlignment="1" applyProtection="1">
      <alignment horizontal="center" vertical="center" wrapText="1"/>
    </xf>
    <xf numFmtId="0" fontId="27" fillId="20" borderId="2" xfId="0" applyFont="1" applyFill="1" applyBorder="1" applyAlignment="1">
      <alignment horizontal="center" vertical="center" wrapText="1"/>
    </xf>
    <xf numFmtId="0" fontId="30" fillId="20" borderId="2" xfId="0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27" fillId="21" borderId="6" xfId="3" applyFont="1" applyFill="1" applyBorder="1" applyAlignment="1">
      <alignment horizontal="center" vertical="center"/>
    </xf>
    <xf numFmtId="0" fontId="27" fillId="21" borderId="3" xfId="3" applyFont="1" applyFill="1" applyBorder="1" applyAlignment="1">
      <alignment horizontal="center" vertical="center"/>
    </xf>
    <xf numFmtId="0" fontId="27" fillId="21" borderId="2" xfId="3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0" fontId="36" fillId="21" borderId="2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27" fillId="21" borderId="2" xfId="0" applyFont="1" applyFill="1" applyBorder="1" applyAlignment="1">
      <alignment horizontal="center" vertical="center"/>
    </xf>
    <xf numFmtId="0" fontId="36" fillId="21" borderId="5" xfId="0" applyFont="1" applyFill="1" applyBorder="1" applyAlignment="1">
      <alignment horizontal="center" vertical="center"/>
    </xf>
    <xf numFmtId="0" fontId="36" fillId="21" borderId="7" xfId="0" applyFont="1" applyFill="1" applyBorder="1" applyAlignment="1">
      <alignment horizontal="center" vertical="center"/>
    </xf>
    <xf numFmtId="0" fontId="36" fillId="21" borderId="1" xfId="0" applyFont="1" applyFill="1" applyBorder="1" applyAlignment="1">
      <alignment horizontal="center" vertical="center"/>
    </xf>
    <xf numFmtId="0" fontId="27" fillId="22" borderId="2" xfId="0" applyFont="1" applyFill="1" applyBorder="1" applyAlignment="1">
      <alignment horizontal="center" vertical="center"/>
    </xf>
    <xf numFmtId="0" fontId="27" fillId="21" borderId="5" xfId="0" applyFont="1" applyFill="1" applyBorder="1" applyAlignment="1">
      <alignment horizontal="center" vertical="center"/>
    </xf>
    <xf numFmtId="0" fontId="27" fillId="21" borderId="7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0" fontId="39" fillId="20" borderId="2" xfId="0" applyFont="1" applyFill="1" applyBorder="1" applyAlignment="1">
      <alignment horizontal="center" vertical="center" wrapText="1"/>
    </xf>
    <xf numFmtId="0" fontId="36" fillId="20" borderId="7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0" fillId="5" borderId="33" xfId="0" applyFont="1" applyFill="1" applyBorder="1" applyAlignment="1">
      <alignment horizontal="center" vertical="center"/>
    </xf>
    <xf numFmtId="0" fontId="17" fillId="5" borderId="34" xfId="0" applyFont="1" applyFill="1" applyBorder="1" applyAlignment="1">
      <alignment horizontal="center" vertical="center"/>
    </xf>
    <xf numFmtId="0" fontId="17" fillId="5" borderId="35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54" xfId="0" applyFill="1" applyBorder="1" applyAlignment="1">
      <alignment horizontal="center" vertical="center"/>
    </xf>
  </cellXfs>
  <cellStyles count="5">
    <cellStyle name="TableStyleLight1" xfId="3"/>
    <cellStyle name="좋음" xfId="1" builtinId="26"/>
    <cellStyle name="표준" xfId="0" builtinId="0"/>
    <cellStyle name="표준 2" xfId="2"/>
    <cellStyle name="표준 3" xfId="4"/>
  </cellStyles>
  <dxfs count="0"/>
  <tableStyles count="0" defaultTableStyle="TableStyleMedium9" defaultPivotStyle="PivotStyleLight16"/>
  <colors>
    <mruColors>
      <color rgb="FF66FF33"/>
      <color rgb="FF00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92"/>
  <sheetViews>
    <sheetView zoomScaleNormal="100" workbookViewId="0">
      <pane xSplit="6" ySplit="7" topLeftCell="G8" activePane="bottomRight" state="frozen"/>
      <selection pane="topRight" activeCell="E1" sqref="E1"/>
      <selection pane="bottomLeft" activeCell="A5" sqref="A5"/>
      <selection pane="bottomRight" activeCell="G37" sqref="G37:N37"/>
    </sheetView>
  </sheetViews>
  <sheetFormatPr defaultColWidth="9" defaultRowHeight="13.5"/>
  <cols>
    <col min="1" max="1" width="2.875" style="1" customWidth="1"/>
    <col min="2" max="2" width="7.625" style="1" bestFit="1" customWidth="1"/>
    <col min="3" max="3" width="20.75" style="1" customWidth="1"/>
    <col min="4" max="4" width="4.25" style="1" bestFit="1" customWidth="1"/>
    <col min="5" max="5" width="4.25" style="1" customWidth="1"/>
    <col min="6" max="6" width="4.375" style="1" customWidth="1"/>
    <col min="7" max="14" width="17" style="1" customWidth="1"/>
    <col min="15" max="15" width="9" style="1"/>
    <col min="16" max="16" width="0" style="1" hidden="1" customWidth="1"/>
    <col min="17" max="17" width="9" style="17"/>
    <col min="18" max="21" width="9" style="1"/>
    <col min="22" max="22" width="9" style="95"/>
    <col min="23" max="23" width="18.375" style="95" customWidth="1"/>
    <col min="24" max="25" width="9" style="1"/>
    <col min="26" max="26" width="16.375" style="1" customWidth="1"/>
    <col min="27" max="16384" width="9" style="1"/>
  </cols>
  <sheetData>
    <row r="1" spans="1:24" ht="17.25" thickBot="1">
      <c r="A1" s="259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123"/>
      <c r="N1" s="259"/>
      <c r="O1" s="259"/>
      <c r="P1" s="259"/>
      <c r="Q1" s="259"/>
      <c r="R1" s="259"/>
      <c r="S1" s="259"/>
      <c r="T1" s="259"/>
    </row>
    <row r="2" spans="1:24" ht="16.5">
      <c r="A2" s="259"/>
      <c r="B2" s="259"/>
      <c r="C2" s="259"/>
      <c r="D2" s="259"/>
      <c r="E2" s="259"/>
      <c r="F2" s="259"/>
      <c r="G2" s="260" t="s">
        <v>189</v>
      </c>
      <c r="H2" s="261" t="s">
        <v>190</v>
      </c>
      <c r="I2" s="259"/>
      <c r="J2" s="260" t="s">
        <v>125</v>
      </c>
      <c r="K2" s="261" t="s">
        <v>191</v>
      </c>
      <c r="L2" s="259"/>
      <c r="M2" s="137"/>
      <c r="N2" s="259" t="s">
        <v>325</v>
      </c>
      <c r="O2" s="138" t="s">
        <v>192</v>
      </c>
      <c r="P2" s="123" t="s">
        <v>319</v>
      </c>
      <c r="Q2" s="263" t="s">
        <v>193</v>
      </c>
      <c r="R2" s="264"/>
      <c r="S2" s="259"/>
      <c r="T2" s="259"/>
      <c r="U2" s="124"/>
    </row>
    <row r="3" spans="1:24" ht="17.25" thickBot="1">
      <c r="A3" s="259"/>
      <c r="B3" s="295" t="s">
        <v>802</v>
      </c>
      <c r="C3" s="296"/>
      <c r="D3" s="139"/>
      <c r="E3" s="139"/>
      <c r="F3" s="139"/>
      <c r="G3" s="140" t="s">
        <v>0</v>
      </c>
      <c r="H3" s="141" t="s">
        <v>194</v>
      </c>
      <c r="I3" s="123"/>
      <c r="J3" s="142" t="s">
        <v>195</v>
      </c>
      <c r="K3" s="143" t="s">
        <v>196</v>
      </c>
      <c r="L3" s="123"/>
      <c r="M3" s="144"/>
      <c r="N3" s="265" t="s">
        <v>326</v>
      </c>
      <c r="O3" s="265"/>
      <c r="P3" s="145"/>
      <c r="Q3" s="265"/>
      <c r="R3" s="259"/>
      <c r="S3" s="259"/>
      <c r="T3" s="259"/>
      <c r="U3" s="124"/>
    </row>
    <row r="4" spans="1:24" ht="17.25" thickBot="1">
      <c r="A4" s="259"/>
      <c r="B4" s="296"/>
      <c r="C4" s="296"/>
      <c r="D4" s="139"/>
      <c r="E4" s="139"/>
      <c r="F4" s="139"/>
      <c r="G4" s="142" t="s">
        <v>197</v>
      </c>
      <c r="H4" s="143" t="s">
        <v>198</v>
      </c>
      <c r="I4" s="259"/>
      <c r="J4" s="259"/>
      <c r="K4" s="259"/>
      <c r="L4" s="259"/>
      <c r="M4" s="146"/>
      <c r="N4" s="259" t="s">
        <v>327</v>
      </c>
      <c r="O4" s="259"/>
      <c r="P4" s="123"/>
      <c r="Q4" s="259"/>
      <c r="R4" s="259"/>
      <c r="S4" s="259"/>
      <c r="T4" s="259"/>
      <c r="U4" s="124"/>
    </row>
    <row r="5" spans="1:24" ht="16.5">
      <c r="A5" s="259"/>
      <c r="B5" s="296"/>
      <c r="C5" s="296"/>
      <c r="D5" s="139"/>
      <c r="E5" s="139"/>
      <c r="F5" s="139"/>
      <c r="G5" s="147"/>
      <c r="H5" s="123"/>
      <c r="I5" s="259"/>
      <c r="J5" s="259"/>
      <c r="K5" s="259"/>
      <c r="L5" s="259"/>
      <c r="M5" s="123"/>
      <c r="N5" s="259"/>
      <c r="O5" s="259"/>
      <c r="P5" s="123"/>
      <c r="Q5" s="259"/>
      <c r="R5" s="259"/>
      <c r="S5" s="259"/>
      <c r="T5" s="259"/>
      <c r="U5" s="124"/>
    </row>
    <row r="6" spans="1:24">
      <c r="A6" s="262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</row>
    <row r="7" spans="1:24" ht="16.5" customHeight="1">
      <c r="A7" s="123"/>
      <c r="B7" s="149" t="s">
        <v>199</v>
      </c>
      <c r="C7" s="150" t="s">
        <v>200</v>
      </c>
      <c r="D7" s="149" t="s">
        <v>0</v>
      </c>
      <c r="E7" s="149" t="s">
        <v>125</v>
      </c>
      <c r="F7" s="149" t="s">
        <v>201</v>
      </c>
      <c r="G7" s="149" t="s">
        <v>202</v>
      </c>
      <c r="H7" s="149" t="s">
        <v>203</v>
      </c>
      <c r="I7" s="149" t="s">
        <v>204</v>
      </c>
      <c r="J7" s="149" t="s">
        <v>205</v>
      </c>
      <c r="K7" s="149" t="s">
        <v>206</v>
      </c>
      <c r="L7" s="149" t="s">
        <v>207</v>
      </c>
      <c r="M7" s="149" t="s">
        <v>208</v>
      </c>
      <c r="N7" s="149" t="s">
        <v>209</v>
      </c>
      <c r="O7" s="149" t="s">
        <v>210</v>
      </c>
      <c r="P7" s="149" t="s">
        <v>211</v>
      </c>
      <c r="Q7" s="149" t="s">
        <v>212</v>
      </c>
      <c r="R7" s="149" t="s">
        <v>213</v>
      </c>
      <c r="S7" s="149" t="s">
        <v>214</v>
      </c>
      <c r="T7" s="123"/>
    </row>
    <row r="8" spans="1:24" ht="15" customHeight="1">
      <c r="A8" s="148"/>
      <c r="B8" s="151" t="str">
        <f>DEC2HEX(R8)</f>
        <v>0</v>
      </c>
      <c r="C8" s="152" t="s">
        <v>2</v>
      </c>
      <c r="D8" s="151" t="s">
        <v>0</v>
      </c>
      <c r="E8" s="151"/>
      <c r="F8" s="151"/>
      <c r="G8" s="282" t="s">
        <v>215</v>
      </c>
      <c r="H8" s="282"/>
      <c r="I8" s="282"/>
      <c r="J8" s="282"/>
      <c r="K8" s="282"/>
      <c r="L8" s="282"/>
      <c r="M8" s="282"/>
      <c r="N8" s="282"/>
      <c r="O8" s="154" t="s">
        <v>1</v>
      </c>
      <c r="P8" s="155" t="s">
        <v>216</v>
      </c>
      <c r="Q8" s="156" t="s">
        <v>217</v>
      </c>
      <c r="R8" s="151">
        <v>0</v>
      </c>
      <c r="S8" s="151">
        <v>0</v>
      </c>
      <c r="T8" s="148"/>
      <c r="U8" s="99"/>
    </row>
    <row r="9" spans="1:24" ht="15" customHeight="1">
      <c r="A9" s="148"/>
      <c r="B9" s="151" t="str">
        <f>DEC2HEX(R9)</f>
        <v>1</v>
      </c>
      <c r="C9" s="152" t="s">
        <v>3</v>
      </c>
      <c r="D9" s="151" t="s">
        <v>0</v>
      </c>
      <c r="E9" s="151"/>
      <c r="F9" s="151"/>
      <c r="G9" s="282" t="s">
        <v>218</v>
      </c>
      <c r="H9" s="282"/>
      <c r="I9" s="282"/>
      <c r="J9" s="282"/>
      <c r="K9" s="282"/>
      <c r="L9" s="282"/>
      <c r="M9" s="151"/>
      <c r="N9" s="156"/>
      <c r="O9" s="154" t="s">
        <v>1</v>
      </c>
      <c r="P9" s="157"/>
      <c r="Q9" s="156" t="s">
        <v>217</v>
      </c>
      <c r="R9" s="151">
        <f>R8+1</f>
        <v>1</v>
      </c>
      <c r="S9" s="151">
        <v>1</v>
      </c>
      <c r="T9" s="148"/>
      <c r="U9" s="302" t="s">
        <v>4</v>
      </c>
      <c r="V9" s="14">
        <v>0</v>
      </c>
      <c r="W9" s="14" t="s">
        <v>5</v>
      </c>
      <c r="X9" s="299" t="s">
        <v>7</v>
      </c>
    </row>
    <row r="10" spans="1:24" ht="15" customHeight="1">
      <c r="A10" s="148"/>
      <c r="B10" s="292" t="str">
        <f>DEC2HEX(R10)</f>
        <v>2</v>
      </c>
      <c r="C10" s="137" t="s">
        <v>219</v>
      </c>
      <c r="D10" s="151" t="s">
        <v>220</v>
      </c>
      <c r="E10" s="151"/>
      <c r="F10" s="151"/>
      <c r="G10" s="151"/>
      <c r="H10" s="137" t="s">
        <v>221</v>
      </c>
      <c r="I10" s="137" t="s">
        <v>222</v>
      </c>
      <c r="J10" s="151"/>
      <c r="K10" s="159"/>
      <c r="L10" s="306" t="s">
        <v>223</v>
      </c>
      <c r="M10" s="306"/>
      <c r="N10" s="306"/>
      <c r="O10" s="293" t="s">
        <v>224</v>
      </c>
      <c r="P10" s="160"/>
      <c r="Q10" s="294" t="s">
        <v>217</v>
      </c>
      <c r="R10" s="292">
        <f>R9+1</f>
        <v>2</v>
      </c>
      <c r="S10" s="292">
        <v>2</v>
      </c>
      <c r="T10" s="123"/>
      <c r="U10" s="303"/>
      <c r="V10" s="14">
        <v>1</v>
      </c>
      <c r="W10" s="14" t="s">
        <v>122</v>
      </c>
      <c r="X10" s="300"/>
    </row>
    <row r="11" spans="1:24" ht="15" customHeight="1">
      <c r="A11" s="148"/>
      <c r="B11" s="292"/>
      <c r="C11" s="146" t="s">
        <v>225</v>
      </c>
      <c r="D11" s="151" t="s">
        <v>226</v>
      </c>
      <c r="E11" s="151"/>
      <c r="F11" s="151"/>
      <c r="G11" s="151"/>
      <c r="H11" s="151"/>
      <c r="I11" s="156"/>
      <c r="J11" s="151"/>
      <c r="K11" s="151"/>
      <c r="L11" s="151"/>
      <c r="M11" s="151"/>
      <c r="N11" s="146" t="s">
        <v>225</v>
      </c>
      <c r="O11" s="293"/>
      <c r="P11" s="151"/>
      <c r="Q11" s="294"/>
      <c r="R11" s="292"/>
      <c r="S11" s="292"/>
      <c r="T11" s="124"/>
      <c r="U11" s="303"/>
      <c r="V11" s="14">
        <v>2</v>
      </c>
      <c r="W11" s="14" t="s">
        <v>123</v>
      </c>
      <c r="X11" s="300"/>
    </row>
    <row r="12" spans="1:24" s="15" customFormat="1" ht="15" customHeight="1">
      <c r="A12" s="148"/>
      <c r="B12" s="292" t="str">
        <f>DEC2HEX(R12)</f>
        <v>3</v>
      </c>
      <c r="C12" s="152" t="s">
        <v>227</v>
      </c>
      <c r="D12" s="151" t="s">
        <v>189</v>
      </c>
      <c r="E12" s="151"/>
      <c r="F12" s="151"/>
      <c r="G12" s="162"/>
      <c r="H12" s="162"/>
      <c r="I12" s="162"/>
      <c r="J12" s="146" t="s">
        <v>196</v>
      </c>
      <c r="K12" s="162"/>
      <c r="L12" s="152" t="s">
        <v>228</v>
      </c>
      <c r="M12" s="163"/>
      <c r="N12" s="164" t="s">
        <v>229</v>
      </c>
      <c r="O12" s="154" t="s">
        <v>1</v>
      </c>
      <c r="P12" s="155"/>
      <c r="Q12" s="156" t="s">
        <v>230</v>
      </c>
      <c r="R12" s="292">
        <f>R10+1</f>
        <v>3</v>
      </c>
      <c r="S12" s="292">
        <v>3</v>
      </c>
      <c r="T12" s="105"/>
      <c r="U12" s="303"/>
      <c r="V12" s="7">
        <v>3</v>
      </c>
      <c r="W12" s="14" t="s">
        <v>124</v>
      </c>
      <c r="X12" s="301"/>
    </row>
    <row r="13" spans="1:24" ht="15" customHeight="1">
      <c r="A13" s="148"/>
      <c r="B13" s="292"/>
      <c r="C13" s="152" t="s">
        <v>231</v>
      </c>
      <c r="D13" s="151" t="s">
        <v>197</v>
      </c>
      <c r="E13" s="151"/>
      <c r="F13" s="151"/>
      <c r="G13" s="282" t="s">
        <v>232</v>
      </c>
      <c r="H13" s="282"/>
      <c r="I13" s="282"/>
      <c r="J13" s="282"/>
      <c r="K13" s="282"/>
      <c r="L13" s="282"/>
      <c r="M13" s="282"/>
      <c r="N13" s="282"/>
      <c r="O13" s="154" t="s">
        <v>1</v>
      </c>
      <c r="P13" s="157"/>
      <c r="Q13" s="156" t="s">
        <v>217</v>
      </c>
      <c r="R13" s="292"/>
      <c r="S13" s="292"/>
      <c r="T13" s="124"/>
      <c r="U13" s="303"/>
      <c r="V13" s="7">
        <v>4</v>
      </c>
      <c r="W13" s="7" t="s">
        <v>121</v>
      </c>
      <c r="X13" s="305" t="s">
        <v>6</v>
      </c>
    </row>
    <row r="14" spans="1:24" ht="15" customHeight="1">
      <c r="A14" s="148"/>
      <c r="B14" s="292">
        <v>4</v>
      </c>
      <c r="C14" s="137" t="s">
        <v>233</v>
      </c>
      <c r="D14" s="151" t="s">
        <v>189</v>
      </c>
      <c r="E14" s="151"/>
      <c r="F14" s="151"/>
      <c r="G14" s="156"/>
      <c r="H14" s="156"/>
      <c r="I14" s="156"/>
      <c r="J14" s="156"/>
      <c r="K14" s="156"/>
      <c r="L14" s="156"/>
      <c r="M14" s="156"/>
      <c r="N14" s="137" t="s">
        <v>234</v>
      </c>
      <c r="O14" s="154" t="s">
        <v>1</v>
      </c>
      <c r="P14" s="155"/>
      <c r="Q14" s="156" t="s">
        <v>217</v>
      </c>
      <c r="R14" s="292">
        <f>R12+1</f>
        <v>4</v>
      </c>
      <c r="S14" s="292">
        <v>4</v>
      </c>
      <c r="T14" s="124"/>
      <c r="U14" s="303"/>
      <c r="V14" s="7">
        <v>5</v>
      </c>
      <c r="W14" s="132" t="s">
        <v>186</v>
      </c>
      <c r="X14" s="305"/>
    </row>
    <row r="15" spans="1:24" ht="15" customHeight="1">
      <c r="A15" s="148"/>
      <c r="B15" s="292"/>
      <c r="C15" s="146" t="s">
        <v>235</v>
      </c>
      <c r="D15" s="151" t="s">
        <v>197</v>
      </c>
      <c r="E15" s="151"/>
      <c r="F15" s="151"/>
      <c r="G15" s="165"/>
      <c r="H15" s="165"/>
      <c r="I15" s="165"/>
      <c r="J15" s="166"/>
      <c r="K15" s="165"/>
      <c r="L15" s="167"/>
      <c r="M15" s="165"/>
      <c r="N15" s="146" t="s">
        <v>235</v>
      </c>
      <c r="O15" s="154" t="s">
        <v>1</v>
      </c>
      <c r="P15" s="157"/>
      <c r="Q15" s="156" t="s">
        <v>217</v>
      </c>
      <c r="R15" s="292"/>
      <c r="S15" s="292"/>
      <c r="T15" s="124"/>
      <c r="U15" s="303"/>
      <c r="V15" s="7">
        <v>6</v>
      </c>
      <c r="W15" s="109" t="s">
        <v>185</v>
      </c>
      <c r="X15" s="305"/>
    </row>
    <row r="16" spans="1:24" ht="15" customHeight="1">
      <c r="A16" s="148"/>
      <c r="B16" s="168" t="str">
        <f t="shared" ref="B16:B74" si="0">DEC2HEX(R16)</f>
        <v>5</v>
      </c>
      <c r="C16" s="169" t="s">
        <v>793</v>
      </c>
      <c r="D16" s="170" t="s">
        <v>0</v>
      </c>
      <c r="E16" s="168"/>
      <c r="F16" s="170"/>
      <c r="G16" s="171"/>
      <c r="H16" s="171"/>
      <c r="I16" s="171"/>
      <c r="J16" s="171"/>
      <c r="K16" s="171"/>
      <c r="L16" s="171"/>
      <c r="M16" s="172"/>
      <c r="N16" s="173" t="s">
        <v>236</v>
      </c>
      <c r="O16" s="168" t="s">
        <v>1</v>
      </c>
      <c r="P16" s="174"/>
      <c r="Q16" s="170" t="s">
        <v>217</v>
      </c>
      <c r="R16" s="168">
        <f>R14+1</f>
        <v>5</v>
      </c>
      <c r="S16" s="168">
        <v>5</v>
      </c>
      <c r="T16" s="124"/>
      <c r="U16" s="304"/>
      <c r="V16" s="7">
        <v>7</v>
      </c>
      <c r="W16" s="109" t="s">
        <v>145</v>
      </c>
      <c r="X16" s="305"/>
    </row>
    <row r="17" spans="1:24" ht="15" customHeight="1">
      <c r="A17" s="148"/>
      <c r="B17" s="151" t="str">
        <f t="shared" si="0"/>
        <v>6</v>
      </c>
      <c r="C17" s="297" t="s">
        <v>700</v>
      </c>
      <c r="D17" s="156" t="s">
        <v>0</v>
      </c>
      <c r="E17" s="151"/>
      <c r="F17" s="156"/>
      <c r="G17" s="280" t="s">
        <v>701</v>
      </c>
      <c r="H17" s="280"/>
      <c r="I17" s="280"/>
      <c r="J17" s="280"/>
      <c r="K17" s="280"/>
      <c r="L17" s="280"/>
      <c r="M17" s="280"/>
      <c r="N17" s="280"/>
      <c r="O17" s="175" t="s">
        <v>1</v>
      </c>
      <c r="P17" s="174"/>
      <c r="Q17" s="156" t="s">
        <v>217</v>
      </c>
      <c r="R17" s="151">
        <f t="shared" ref="R17:R74" si="1">R16+1</f>
        <v>6</v>
      </c>
      <c r="S17" s="151">
        <v>6</v>
      </c>
      <c r="T17" s="124"/>
      <c r="V17" s="1"/>
      <c r="W17" s="1"/>
    </row>
    <row r="18" spans="1:24" ht="15" customHeight="1">
      <c r="A18" s="148"/>
      <c r="B18" s="151" t="str">
        <f t="shared" si="0"/>
        <v>7</v>
      </c>
      <c r="C18" s="298"/>
      <c r="D18" s="156" t="s">
        <v>0</v>
      </c>
      <c r="E18" s="151"/>
      <c r="F18" s="156"/>
      <c r="G18" s="280" t="s">
        <v>702</v>
      </c>
      <c r="H18" s="280"/>
      <c r="I18" s="280"/>
      <c r="J18" s="280"/>
      <c r="K18" s="280"/>
      <c r="L18" s="280"/>
      <c r="M18" s="280"/>
      <c r="N18" s="280"/>
      <c r="O18" s="151" t="s">
        <v>1</v>
      </c>
      <c r="P18" s="174"/>
      <c r="Q18" s="156" t="s">
        <v>217</v>
      </c>
      <c r="R18" s="151">
        <f t="shared" si="1"/>
        <v>7</v>
      </c>
      <c r="S18" s="151">
        <v>7</v>
      </c>
      <c r="T18" s="124"/>
      <c r="V18" s="1"/>
      <c r="W18" s="1"/>
    </row>
    <row r="19" spans="1:24" ht="15" customHeight="1">
      <c r="A19" s="148"/>
      <c r="B19" s="151" t="str">
        <f t="shared" si="0"/>
        <v>8</v>
      </c>
      <c r="C19" s="280" t="s">
        <v>237</v>
      </c>
      <c r="D19" s="151" t="s">
        <v>763</v>
      </c>
      <c r="E19" s="151"/>
      <c r="F19" s="151"/>
      <c r="G19" s="280" t="s">
        <v>238</v>
      </c>
      <c r="H19" s="280"/>
      <c r="I19" s="280"/>
      <c r="J19" s="280"/>
      <c r="K19" s="280"/>
      <c r="L19" s="280"/>
      <c r="M19" s="280"/>
      <c r="N19" s="280"/>
      <c r="O19" s="151" t="s">
        <v>1</v>
      </c>
      <c r="P19" s="174"/>
      <c r="Q19" s="156" t="s">
        <v>217</v>
      </c>
      <c r="R19" s="151">
        <f t="shared" si="1"/>
        <v>8</v>
      </c>
      <c r="S19" s="151">
        <v>8</v>
      </c>
      <c r="T19" s="124"/>
      <c r="U19" s="307" t="s">
        <v>9</v>
      </c>
      <c r="V19" s="7">
        <v>0</v>
      </c>
      <c r="W19" s="7" t="s">
        <v>8</v>
      </c>
    </row>
    <row r="20" spans="1:24" ht="15" customHeight="1">
      <c r="A20" s="148"/>
      <c r="B20" s="151" t="str">
        <f t="shared" si="0"/>
        <v>9</v>
      </c>
      <c r="C20" s="280"/>
      <c r="D20" s="151" t="s">
        <v>197</v>
      </c>
      <c r="E20" s="151"/>
      <c r="F20" s="176"/>
      <c r="G20" s="280" t="s">
        <v>239</v>
      </c>
      <c r="H20" s="280"/>
      <c r="I20" s="280"/>
      <c r="J20" s="280"/>
      <c r="K20" s="280"/>
      <c r="L20" s="177"/>
      <c r="M20" s="165"/>
      <c r="N20" s="178"/>
      <c r="O20" s="175" t="s">
        <v>1</v>
      </c>
      <c r="P20" s="174"/>
      <c r="Q20" s="156" t="s">
        <v>217</v>
      </c>
      <c r="R20" s="151">
        <f t="shared" si="1"/>
        <v>9</v>
      </c>
      <c r="S20" s="151">
        <v>9</v>
      </c>
      <c r="T20" s="124"/>
      <c r="U20" s="307"/>
      <c r="V20" s="7">
        <v>1</v>
      </c>
      <c r="W20" s="7" t="s">
        <v>183</v>
      </c>
    </row>
    <row r="21" spans="1:24" ht="15" customHeight="1">
      <c r="A21" s="148"/>
      <c r="B21" s="151" t="str">
        <f t="shared" si="0"/>
        <v>A</v>
      </c>
      <c r="C21" s="280" t="s">
        <v>240</v>
      </c>
      <c r="D21" s="151" t="s">
        <v>197</v>
      </c>
      <c r="E21" s="151"/>
      <c r="F21" s="151"/>
      <c r="G21" s="280" t="s">
        <v>241</v>
      </c>
      <c r="H21" s="280"/>
      <c r="I21" s="280"/>
      <c r="J21" s="280"/>
      <c r="K21" s="280"/>
      <c r="L21" s="280"/>
      <c r="M21" s="280"/>
      <c r="N21" s="280"/>
      <c r="O21" s="151" t="s">
        <v>1</v>
      </c>
      <c r="P21" s="174"/>
      <c r="Q21" s="156" t="s">
        <v>217</v>
      </c>
      <c r="R21" s="151">
        <f t="shared" si="1"/>
        <v>10</v>
      </c>
      <c r="S21" s="151">
        <v>10</v>
      </c>
      <c r="T21" s="124"/>
      <c r="U21" s="307"/>
      <c r="V21" s="131">
        <v>3</v>
      </c>
      <c r="W21" s="131" t="s">
        <v>184</v>
      </c>
    </row>
    <row r="22" spans="1:24" ht="15" customHeight="1">
      <c r="A22" s="148"/>
      <c r="B22" s="151" t="str">
        <f t="shared" si="0"/>
        <v>B</v>
      </c>
      <c r="C22" s="280"/>
      <c r="D22" s="151" t="s">
        <v>197</v>
      </c>
      <c r="E22" s="151"/>
      <c r="F22" s="176"/>
      <c r="G22" s="280" t="s">
        <v>242</v>
      </c>
      <c r="H22" s="280"/>
      <c r="I22" s="280"/>
      <c r="J22" s="280"/>
      <c r="K22" s="280"/>
      <c r="L22" s="177"/>
      <c r="M22" s="165"/>
      <c r="N22" s="178"/>
      <c r="O22" s="175" t="s">
        <v>1</v>
      </c>
      <c r="P22" s="174"/>
      <c r="Q22" s="156" t="s">
        <v>217</v>
      </c>
      <c r="R22" s="151">
        <f t="shared" si="1"/>
        <v>11</v>
      </c>
      <c r="S22" s="151">
        <v>11</v>
      </c>
      <c r="T22" s="124"/>
      <c r="V22" s="1"/>
      <c r="W22" s="1"/>
    </row>
    <row r="23" spans="1:24" ht="15" customHeight="1">
      <c r="A23" s="148"/>
      <c r="B23" s="151" t="str">
        <f t="shared" si="0"/>
        <v>C</v>
      </c>
      <c r="C23" s="280" t="s">
        <v>243</v>
      </c>
      <c r="D23" s="156" t="s">
        <v>197</v>
      </c>
      <c r="E23" s="151"/>
      <c r="F23" s="151"/>
      <c r="G23" s="280" t="s">
        <v>244</v>
      </c>
      <c r="H23" s="280"/>
      <c r="I23" s="280"/>
      <c r="J23" s="280"/>
      <c r="K23" s="280"/>
      <c r="L23" s="280"/>
      <c r="M23" s="280"/>
      <c r="N23" s="280"/>
      <c r="O23" s="151" t="s">
        <v>1</v>
      </c>
      <c r="P23" s="174"/>
      <c r="Q23" s="156" t="s">
        <v>217</v>
      </c>
      <c r="R23" s="151">
        <f t="shared" si="1"/>
        <v>12</v>
      </c>
      <c r="S23" s="151">
        <v>12</v>
      </c>
      <c r="T23" s="124"/>
      <c r="U23" s="112" t="s">
        <v>146</v>
      </c>
      <c r="V23" s="113" t="s">
        <v>188</v>
      </c>
      <c r="W23" s="110"/>
      <c r="X23" s="111"/>
    </row>
    <row r="24" spans="1:24" ht="15" customHeight="1">
      <c r="A24" s="148"/>
      <c r="B24" s="151" t="str">
        <f t="shared" si="0"/>
        <v>D</v>
      </c>
      <c r="C24" s="280"/>
      <c r="D24" s="156" t="s">
        <v>197</v>
      </c>
      <c r="E24" s="151"/>
      <c r="F24" s="151"/>
      <c r="G24" s="280" t="s">
        <v>245</v>
      </c>
      <c r="H24" s="280"/>
      <c r="I24" s="280"/>
      <c r="J24" s="280"/>
      <c r="K24" s="280"/>
      <c r="L24" s="177"/>
      <c r="M24" s="165"/>
      <c r="N24" s="178"/>
      <c r="O24" s="175" t="s">
        <v>1</v>
      </c>
      <c r="P24" s="174"/>
      <c r="Q24" s="156" t="s">
        <v>217</v>
      </c>
      <c r="R24" s="151">
        <f t="shared" si="1"/>
        <v>13</v>
      </c>
      <c r="S24" s="151">
        <v>13</v>
      </c>
      <c r="T24" s="98"/>
    </row>
    <row r="25" spans="1:24" ht="15" customHeight="1">
      <c r="A25" s="148"/>
      <c r="B25" s="151" t="str">
        <f t="shared" si="0"/>
        <v>E</v>
      </c>
      <c r="C25" s="146" t="s">
        <v>246</v>
      </c>
      <c r="D25" s="156" t="s">
        <v>0</v>
      </c>
      <c r="E25" s="151"/>
      <c r="F25" s="151"/>
      <c r="G25" s="282" t="s">
        <v>247</v>
      </c>
      <c r="H25" s="282"/>
      <c r="I25" s="282"/>
      <c r="J25" s="282"/>
      <c r="K25" s="282"/>
      <c r="L25" s="282"/>
      <c r="M25" s="282"/>
      <c r="N25" s="282"/>
      <c r="O25" s="151" t="s">
        <v>1</v>
      </c>
      <c r="P25" s="174"/>
      <c r="Q25" s="156" t="s">
        <v>217</v>
      </c>
      <c r="R25" s="151">
        <f t="shared" si="1"/>
        <v>14</v>
      </c>
      <c r="S25" s="151">
        <v>14</v>
      </c>
      <c r="T25" s="98"/>
    </row>
    <row r="26" spans="1:24" ht="15" customHeight="1">
      <c r="A26" s="148"/>
      <c r="B26" s="151" t="str">
        <f t="shared" si="0"/>
        <v>F</v>
      </c>
      <c r="C26" s="146" t="s">
        <v>322</v>
      </c>
      <c r="D26" s="156" t="s">
        <v>0</v>
      </c>
      <c r="E26" s="151"/>
      <c r="F26" s="151"/>
      <c r="G26" s="282" t="s">
        <v>248</v>
      </c>
      <c r="H26" s="282"/>
      <c r="I26" s="282"/>
      <c r="J26" s="282"/>
      <c r="K26" s="282"/>
      <c r="L26" s="282"/>
      <c r="M26" s="282"/>
      <c r="N26" s="282"/>
      <c r="O26" s="175" t="s">
        <v>1</v>
      </c>
      <c r="P26" s="174"/>
      <c r="Q26" s="156" t="s">
        <v>217</v>
      </c>
      <c r="R26" s="151">
        <f t="shared" si="1"/>
        <v>15</v>
      </c>
      <c r="S26" s="151">
        <v>15</v>
      </c>
      <c r="T26" s="124"/>
    </row>
    <row r="27" spans="1:24" ht="15" customHeight="1">
      <c r="A27" s="148"/>
      <c r="B27" s="151" t="str">
        <f t="shared" si="0"/>
        <v>10</v>
      </c>
      <c r="C27" s="146" t="s">
        <v>249</v>
      </c>
      <c r="D27" s="156" t="s">
        <v>0</v>
      </c>
      <c r="E27" s="151"/>
      <c r="F27" s="156"/>
      <c r="G27" s="282" t="s">
        <v>250</v>
      </c>
      <c r="H27" s="282"/>
      <c r="I27" s="282"/>
      <c r="J27" s="282"/>
      <c r="K27" s="282"/>
      <c r="L27" s="282"/>
      <c r="M27" s="282"/>
      <c r="N27" s="282"/>
      <c r="O27" s="179" t="s">
        <v>1</v>
      </c>
      <c r="P27" s="174"/>
      <c r="Q27" s="156" t="s">
        <v>217</v>
      </c>
      <c r="R27" s="151">
        <f t="shared" si="1"/>
        <v>16</v>
      </c>
      <c r="S27" s="151">
        <v>16</v>
      </c>
      <c r="T27" s="105"/>
      <c r="U27" s="96"/>
      <c r="V27" s="96"/>
      <c r="W27" s="96"/>
    </row>
    <row r="28" spans="1:24" ht="15" customHeight="1">
      <c r="A28" s="148"/>
      <c r="B28" s="151" t="str">
        <f t="shared" si="0"/>
        <v>11</v>
      </c>
      <c r="C28" s="146" t="s">
        <v>251</v>
      </c>
      <c r="D28" s="156" t="s">
        <v>0</v>
      </c>
      <c r="E28" s="151"/>
      <c r="F28" s="156"/>
      <c r="G28" s="282" t="s">
        <v>252</v>
      </c>
      <c r="H28" s="282"/>
      <c r="I28" s="282"/>
      <c r="J28" s="282"/>
      <c r="K28" s="282"/>
      <c r="L28" s="282"/>
      <c r="M28" s="282"/>
      <c r="N28" s="282"/>
      <c r="O28" s="179" t="s">
        <v>1</v>
      </c>
      <c r="P28" s="174"/>
      <c r="Q28" s="156" t="s">
        <v>217</v>
      </c>
      <c r="R28" s="151">
        <f t="shared" si="1"/>
        <v>17</v>
      </c>
      <c r="S28" s="151">
        <v>17</v>
      </c>
      <c r="T28" s="124"/>
    </row>
    <row r="29" spans="1:24" ht="15" customHeight="1">
      <c r="A29" s="148"/>
      <c r="B29" s="151" t="str">
        <f t="shared" si="0"/>
        <v>12</v>
      </c>
      <c r="C29" s="146" t="s">
        <v>323</v>
      </c>
      <c r="D29" s="156" t="s">
        <v>0</v>
      </c>
      <c r="E29" s="151"/>
      <c r="F29" s="151"/>
      <c r="G29" s="282" t="s">
        <v>253</v>
      </c>
      <c r="H29" s="282"/>
      <c r="I29" s="282"/>
      <c r="J29" s="282"/>
      <c r="K29" s="282"/>
      <c r="L29" s="282"/>
      <c r="M29" s="282"/>
      <c r="N29" s="282"/>
      <c r="O29" s="151" t="s">
        <v>1</v>
      </c>
      <c r="P29" s="174"/>
      <c r="Q29" s="156" t="s">
        <v>217</v>
      </c>
      <c r="R29" s="151">
        <f t="shared" si="1"/>
        <v>18</v>
      </c>
      <c r="S29" s="151">
        <v>18</v>
      </c>
      <c r="T29" s="124"/>
    </row>
    <row r="30" spans="1:24" ht="15" customHeight="1">
      <c r="A30" s="148"/>
      <c r="B30" s="151" t="str">
        <f t="shared" si="0"/>
        <v>13</v>
      </c>
      <c r="C30" s="146" t="s">
        <v>324</v>
      </c>
      <c r="D30" s="156" t="s">
        <v>0</v>
      </c>
      <c r="E30" s="151"/>
      <c r="F30" s="151"/>
      <c r="G30" s="282" t="s">
        <v>254</v>
      </c>
      <c r="H30" s="282"/>
      <c r="I30" s="282"/>
      <c r="J30" s="282"/>
      <c r="K30" s="282"/>
      <c r="L30" s="282"/>
      <c r="M30" s="282"/>
      <c r="N30" s="282"/>
      <c r="O30" s="151" t="s">
        <v>1</v>
      </c>
      <c r="P30" s="174"/>
      <c r="Q30" s="156" t="s">
        <v>217</v>
      </c>
      <c r="R30" s="151">
        <f t="shared" si="1"/>
        <v>19</v>
      </c>
      <c r="S30" s="151">
        <v>19</v>
      </c>
      <c r="T30" s="124"/>
    </row>
    <row r="31" spans="1:24" ht="15" customHeight="1">
      <c r="A31" s="148"/>
      <c r="B31" s="151" t="str">
        <f t="shared" si="0"/>
        <v>14</v>
      </c>
      <c r="C31" s="290" t="s">
        <v>727</v>
      </c>
      <c r="D31" s="156" t="s">
        <v>0</v>
      </c>
      <c r="E31" s="151"/>
      <c r="F31" s="156"/>
      <c r="G31" s="282" t="s">
        <v>255</v>
      </c>
      <c r="H31" s="282"/>
      <c r="I31" s="282"/>
      <c r="J31" s="282"/>
      <c r="K31" s="282"/>
      <c r="L31" s="282"/>
      <c r="M31" s="282"/>
      <c r="N31" s="282"/>
      <c r="O31" s="179" t="s">
        <v>1</v>
      </c>
      <c r="P31" s="174"/>
      <c r="Q31" s="156" t="s">
        <v>217</v>
      </c>
      <c r="R31" s="151">
        <f t="shared" si="1"/>
        <v>20</v>
      </c>
      <c r="S31" s="151">
        <v>20</v>
      </c>
      <c r="T31" s="124"/>
    </row>
    <row r="32" spans="1:24" ht="15" customHeight="1">
      <c r="A32" s="148"/>
      <c r="B32" s="151" t="str">
        <f t="shared" si="0"/>
        <v>15</v>
      </c>
      <c r="C32" s="291"/>
      <c r="D32" s="156" t="s">
        <v>0</v>
      </c>
      <c r="E32" s="151"/>
      <c r="F32" s="156"/>
      <c r="G32" s="282" t="s">
        <v>256</v>
      </c>
      <c r="H32" s="282"/>
      <c r="I32" s="282"/>
      <c r="J32" s="282"/>
      <c r="K32" s="282"/>
      <c r="L32" s="282"/>
      <c r="M32" s="282"/>
      <c r="N32" s="282"/>
      <c r="O32" s="179" t="s">
        <v>1</v>
      </c>
      <c r="P32" s="174"/>
      <c r="Q32" s="156" t="s">
        <v>217</v>
      </c>
      <c r="R32" s="151">
        <f t="shared" si="1"/>
        <v>21</v>
      </c>
      <c r="S32" s="151">
        <v>21</v>
      </c>
      <c r="T32" s="124"/>
    </row>
    <row r="33" spans="1:27" ht="15" customHeight="1">
      <c r="A33" s="148"/>
      <c r="B33" s="151" t="str">
        <f t="shared" si="0"/>
        <v>16</v>
      </c>
      <c r="C33" s="280" t="s">
        <v>257</v>
      </c>
      <c r="D33" s="151" t="s">
        <v>0</v>
      </c>
      <c r="E33" s="151"/>
      <c r="F33" s="151"/>
      <c r="G33" s="280" t="s">
        <v>258</v>
      </c>
      <c r="H33" s="280"/>
      <c r="I33" s="280"/>
      <c r="J33" s="280"/>
      <c r="K33" s="280"/>
      <c r="L33" s="280"/>
      <c r="M33" s="280"/>
      <c r="N33" s="280"/>
      <c r="O33" s="151" t="s">
        <v>1</v>
      </c>
      <c r="P33" s="174"/>
      <c r="Q33" s="156" t="s">
        <v>217</v>
      </c>
      <c r="R33" s="151">
        <f t="shared" si="1"/>
        <v>22</v>
      </c>
      <c r="S33" s="151">
        <v>22</v>
      </c>
      <c r="T33" s="124"/>
    </row>
    <row r="34" spans="1:27" ht="15" customHeight="1">
      <c r="A34" s="148"/>
      <c r="B34" s="151" t="str">
        <f t="shared" si="0"/>
        <v>17</v>
      </c>
      <c r="C34" s="280"/>
      <c r="D34" s="151" t="s">
        <v>0</v>
      </c>
      <c r="E34" s="151"/>
      <c r="F34" s="151"/>
      <c r="G34" s="280" t="s">
        <v>259</v>
      </c>
      <c r="H34" s="280"/>
      <c r="I34" s="280"/>
      <c r="J34" s="280"/>
      <c r="K34" s="280"/>
      <c r="L34" s="280"/>
      <c r="M34" s="280"/>
      <c r="N34" s="280"/>
      <c r="O34" s="151" t="s">
        <v>1</v>
      </c>
      <c r="P34" s="174"/>
      <c r="Q34" s="156" t="s">
        <v>217</v>
      </c>
      <c r="R34" s="151">
        <f t="shared" si="1"/>
        <v>23</v>
      </c>
      <c r="S34" s="151">
        <v>23</v>
      </c>
      <c r="T34" s="124"/>
    </row>
    <row r="35" spans="1:27" ht="15" customHeight="1">
      <c r="A35" s="148"/>
      <c r="B35" s="151" t="str">
        <f t="shared" si="0"/>
        <v>18</v>
      </c>
      <c r="C35" s="290" t="s">
        <v>728</v>
      </c>
      <c r="D35" s="151" t="s">
        <v>0</v>
      </c>
      <c r="E35" s="151"/>
      <c r="F35" s="151"/>
      <c r="G35" s="282" t="s">
        <v>260</v>
      </c>
      <c r="H35" s="282"/>
      <c r="I35" s="282"/>
      <c r="J35" s="282"/>
      <c r="K35" s="282"/>
      <c r="L35" s="282"/>
      <c r="M35" s="282"/>
      <c r="N35" s="282"/>
      <c r="O35" s="151" t="s">
        <v>1</v>
      </c>
      <c r="P35" s="174"/>
      <c r="Q35" s="156" t="s">
        <v>217</v>
      </c>
      <c r="R35" s="151">
        <f t="shared" si="1"/>
        <v>24</v>
      </c>
      <c r="S35" s="151">
        <v>24</v>
      </c>
      <c r="T35" s="124"/>
    </row>
    <row r="36" spans="1:27" ht="15" customHeight="1">
      <c r="A36" s="148"/>
      <c r="B36" s="151" t="str">
        <f t="shared" si="0"/>
        <v>19</v>
      </c>
      <c r="C36" s="291"/>
      <c r="D36" s="151" t="s">
        <v>0</v>
      </c>
      <c r="E36" s="151"/>
      <c r="F36" s="151"/>
      <c r="G36" s="282" t="s">
        <v>261</v>
      </c>
      <c r="H36" s="282"/>
      <c r="I36" s="282"/>
      <c r="J36" s="282"/>
      <c r="K36" s="282"/>
      <c r="L36" s="282"/>
      <c r="M36" s="282"/>
      <c r="N36" s="282"/>
      <c r="O36" s="151" t="s">
        <v>1</v>
      </c>
      <c r="P36" s="174"/>
      <c r="Q36" s="156" t="s">
        <v>217</v>
      </c>
      <c r="R36" s="151">
        <f t="shared" si="1"/>
        <v>25</v>
      </c>
      <c r="S36" s="151">
        <v>25</v>
      </c>
      <c r="T36" s="124"/>
    </row>
    <row r="37" spans="1:27" ht="15" customHeight="1">
      <c r="A37" s="148"/>
      <c r="B37" s="151" t="str">
        <f t="shared" si="0"/>
        <v>1A</v>
      </c>
      <c r="C37" s="280" t="s">
        <v>262</v>
      </c>
      <c r="D37" s="151" t="s">
        <v>0</v>
      </c>
      <c r="E37" s="151"/>
      <c r="F37" s="151"/>
      <c r="G37" s="280" t="s">
        <v>263</v>
      </c>
      <c r="H37" s="280"/>
      <c r="I37" s="280"/>
      <c r="J37" s="280"/>
      <c r="K37" s="280"/>
      <c r="L37" s="280"/>
      <c r="M37" s="280"/>
      <c r="N37" s="280"/>
      <c r="O37" s="151" t="s">
        <v>1</v>
      </c>
      <c r="P37" s="174"/>
      <c r="Q37" s="156" t="s">
        <v>217</v>
      </c>
      <c r="R37" s="151">
        <f t="shared" si="1"/>
        <v>26</v>
      </c>
      <c r="S37" s="151">
        <v>26</v>
      </c>
      <c r="T37" s="124"/>
    </row>
    <row r="38" spans="1:27" ht="15" customHeight="1">
      <c r="A38" s="148"/>
      <c r="B38" s="151" t="str">
        <f t="shared" si="0"/>
        <v>1B</v>
      </c>
      <c r="C38" s="280"/>
      <c r="D38" s="151" t="s">
        <v>0</v>
      </c>
      <c r="E38" s="151"/>
      <c r="F38" s="151"/>
      <c r="G38" s="280" t="s">
        <v>264</v>
      </c>
      <c r="H38" s="280"/>
      <c r="I38" s="280"/>
      <c r="J38" s="280"/>
      <c r="K38" s="280"/>
      <c r="L38" s="280"/>
      <c r="M38" s="280"/>
      <c r="N38" s="280"/>
      <c r="O38" s="151" t="s">
        <v>1</v>
      </c>
      <c r="P38" s="174"/>
      <c r="Q38" s="156" t="s">
        <v>217</v>
      </c>
      <c r="R38" s="151">
        <f t="shared" si="1"/>
        <v>27</v>
      </c>
      <c r="S38" s="151">
        <v>27</v>
      </c>
      <c r="T38" s="124"/>
      <c r="AA38" s="11"/>
    </row>
    <row r="39" spans="1:27" ht="15" customHeight="1">
      <c r="A39" s="148"/>
      <c r="B39" s="151" t="str">
        <f t="shared" si="0"/>
        <v>1C</v>
      </c>
      <c r="C39" s="146" t="s">
        <v>265</v>
      </c>
      <c r="D39" s="151" t="s">
        <v>0</v>
      </c>
      <c r="E39" s="151"/>
      <c r="F39" s="151"/>
      <c r="G39" s="282" t="s">
        <v>266</v>
      </c>
      <c r="H39" s="282"/>
      <c r="I39" s="282"/>
      <c r="J39" s="282"/>
      <c r="K39" s="282"/>
      <c r="L39" s="282"/>
      <c r="M39" s="282"/>
      <c r="N39" s="282"/>
      <c r="O39" s="151" t="s">
        <v>1</v>
      </c>
      <c r="P39" s="174"/>
      <c r="Q39" s="156" t="s">
        <v>217</v>
      </c>
      <c r="R39" s="151">
        <f t="shared" si="1"/>
        <v>28</v>
      </c>
      <c r="S39" s="151">
        <v>28</v>
      </c>
      <c r="T39" s="98"/>
      <c r="U39" s="12"/>
      <c r="V39" s="98"/>
      <c r="AA39" s="11"/>
    </row>
    <row r="40" spans="1:27" ht="15" customHeight="1">
      <c r="A40" s="148"/>
      <c r="B40" s="151" t="str">
        <f t="shared" si="0"/>
        <v>1D</v>
      </c>
      <c r="C40" s="146" t="s">
        <v>267</v>
      </c>
      <c r="D40" s="151" t="s">
        <v>0</v>
      </c>
      <c r="E40" s="151"/>
      <c r="F40" s="151"/>
      <c r="G40" s="282" t="s">
        <v>268</v>
      </c>
      <c r="H40" s="282"/>
      <c r="I40" s="282"/>
      <c r="J40" s="282"/>
      <c r="K40" s="282"/>
      <c r="L40" s="282"/>
      <c r="M40" s="282"/>
      <c r="N40" s="282"/>
      <c r="O40" s="151" t="s">
        <v>1</v>
      </c>
      <c r="P40" s="174"/>
      <c r="Q40" s="156" t="s">
        <v>217</v>
      </c>
      <c r="R40" s="151">
        <f t="shared" si="1"/>
        <v>29</v>
      </c>
      <c r="S40" s="151">
        <v>29</v>
      </c>
      <c r="T40" s="98"/>
      <c r="U40" s="12"/>
      <c r="V40" s="98"/>
      <c r="AA40" s="11"/>
    </row>
    <row r="41" spans="1:27" ht="15" customHeight="1">
      <c r="A41" s="148"/>
      <c r="B41" s="151" t="str">
        <f t="shared" si="0"/>
        <v>1E</v>
      </c>
      <c r="C41" s="146" t="s">
        <v>269</v>
      </c>
      <c r="D41" s="151" t="s">
        <v>0</v>
      </c>
      <c r="E41" s="151"/>
      <c r="F41" s="151"/>
      <c r="G41" s="282" t="s">
        <v>270</v>
      </c>
      <c r="H41" s="282"/>
      <c r="I41" s="282"/>
      <c r="J41" s="282"/>
      <c r="K41" s="282"/>
      <c r="L41" s="282"/>
      <c r="M41" s="282"/>
      <c r="N41" s="282"/>
      <c r="O41" s="151" t="s">
        <v>1</v>
      </c>
      <c r="P41" s="174"/>
      <c r="Q41" s="156" t="s">
        <v>217</v>
      </c>
      <c r="R41" s="151">
        <f t="shared" si="1"/>
        <v>30</v>
      </c>
      <c r="S41" s="151">
        <v>30</v>
      </c>
      <c r="T41" s="97"/>
      <c r="U41" s="11"/>
      <c r="V41" s="97"/>
    </row>
    <row r="42" spans="1:27" ht="15" customHeight="1">
      <c r="A42" s="148"/>
      <c r="B42" s="151" t="str">
        <f t="shared" si="0"/>
        <v>1F</v>
      </c>
      <c r="C42" s="146" t="s">
        <v>328</v>
      </c>
      <c r="D42" s="151" t="s">
        <v>0</v>
      </c>
      <c r="E42" s="151"/>
      <c r="F42" s="151"/>
      <c r="G42" s="282" t="s">
        <v>271</v>
      </c>
      <c r="H42" s="282"/>
      <c r="I42" s="282"/>
      <c r="J42" s="282"/>
      <c r="K42" s="282"/>
      <c r="L42" s="282"/>
      <c r="M42" s="282"/>
      <c r="N42" s="282"/>
      <c r="O42" s="151" t="s">
        <v>1</v>
      </c>
      <c r="P42" s="174"/>
      <c r="Q42" s="156" t="s">
        <v>217</v>
      </c>
      <c r="R42" s="151">
        <f t="shared" si="1"/>
        <v>31</v>
      </c>
      <c r="S42" s="151">
        <v>31</v>
      </c>
      <c r="T42" s="105"/>
      <c r="U42" s="124"/>
      <c r="V42" s="96"/>
    </row>
    <row r="43" spans="1:27" ht="15" customHeight="1">
      <c r="A43" s="148"/>
      <c r="B43" s="156" t="str">
        <f t="shared" si="0"/>
        <v>20</v>
      </c>
      <c r="C43" s="152" t="s">
        <v>272</v>
      </c>
      <c r="D43" s="151" t="s">
        <v>197</v>
      </c>
      <c r="E43" s="151"/>
      <c r="F43" s="151"/>
      <c r="G43" s="165"/>
      <c r="H43" s="165"/>
      <c r="I43" s="165"/>
      <c r="J43" s="165"/>
      <c r="K43" s="282" t="s">
        <v>273</v>
      </c>
      <c r="L43" s="282"/>
      <c r="M43" s="282"/>
      <c r="N43" s="282"/>
      <c r="O43" s="154" t="s">
        <v>1</v>
      </c>
      <c r="P43" s="174"/>
      <c r="Q43" s="156" t="s">
        <v>217</v>
      </c>
      <c r="R43" s="151">
        <f t="shared" si="1"/>
        <v>32</v>
      </c>
      <c r="S43" s="151">
        <v>32</v>
      </c>
      <c r="T43" s="124"/>
      <c r="U43" s="124"/>
    </row>
    <row r="44" spans="1:27" ht="15" customHeight="1">
      <c r="A44" s="148"/>
      <c r="B44" s="156" t="str">
        <f t="shared" si="0"/>
        <v>21</v>
      </c>
      <c r="C44" s="152" t="s">
        <v>274</v>
      </c>
      <c r="D44" s="151" t="s">
        <v>197</v>
      </c>
      <c r="E44" s="151"/>
      <c r="F44" s="151"/>
      <c r="G44" s="282" t="s">
        <v>275</v>
      </c>
      <c r="H44" s="282"/>
      <c r="I44" s="282"/>
      <c r="J44" s="282"/>
      <c r="K44" s="282" t="s">
        <v>276</v>
      </c>
      <c r="L44" s="282"/>
      <c r="M44" s="282"/>
      <c r="N44" s="282"/>
      <c r="O44" s="180" t="s">
        <v>790</v>
      </c>
      <c r="P44" s="174"/>
      <c r="Q44" s="156" t="s">
        <v>217</v>
      </c>
      <c r="R44" s="151">
        <f t="shared" si="1"/>
        <v>33</v>
      </c>
      <c r="S44" s="151">
        <v>33</v>
      </c>
      <c r="T44" s="124"/>
      <c r="U44" s="124"/>
    </row>
    <row r="45" spans="1:27" ht="15" customHeight="1">
      <c r="A45" s="148"/>
      <c r="B45" s="151" t="str">
        <f t="shared" si="0"/>
        <v>22</v>
      </c>
      <c r="C45" s="152" t="s">
        <v>277</v>
      </c>
      <c r="D45" s="151" t="s">
        <v>0</v>
      </c>
      <c r="E45" s="151"/>
      <c r="F45" s="151"/>
      <c r="G45" s="282" t="s">
        <v>278</v>
      </c>
      <c r="H45" s="282"/>
      <c r="I45" s="282"/>
      <c r="J45" s="282"/>
      <c r="K45" s="282"/>
      <c r="L45" s="282"/>
      <c r="M45" s="282"/>
      <c r="N45" s="282"/>
      <c r="O45" s="156" t="s">
        <v>801</v>
      </c>
      <c r="P45" s="174"/>
      <c r="Q45" s="156" t="s">
        <v>217</v>
      </c>
      <c r="R45" s="151">
        <f t="shared" si="1"/>
        <v>34</v>
      </c>
      <c r="S45" s="151">
        <v>34</v>
      </c>
      <c r="T45" s="124"/>
      <c r="U45" s="124"/>
    </row>
    <row r="46" spans="1:27" ht="15" customHeight="1">
      <c r="A46" s="148"/>
      <c r="B46" s="151" t="str">
        <f t="shared" si="0"/>
        <v>23</v>
      </c>
      <c r="C46" s="152" t="s">
        <v>280</v>
      </c>
      <c r="D46" s="151" t="s">
        <v>0</v>
      </c>
      <c r="E46" s="151"/>
      <c r="F46" s="151"/>
      <c r="G46" s="282" t="s">
        <v>281</v>
      </c>
      <c r="H46" s="282"/>
      <c r="I46" s="282"/>
      <c r="J46" s="282"/>
      <c r="K46" s="282"/>
      <c r="L46" s="282"/>
      <c r="M46" s="282"/>
      <c r="N46" s="282"/>
      <c r="O46" s="156" t="s">
        <v>364</v>
      </c>
      <c r="P46" s="174"/>
      <c r="Q46" s="156" t="s">
        <v>217</v>
      </c>
      <c r="R46" s="151">
        <f t="shared" si="1"/>
        <v>35</v>
      </c>
      <c r="S46" s="151">
        <v>35</v>
      </c>
      <c r="T46" s="124"/>
      <c r="U46" s="124"/>
    </row>
    <row r="47" spans="1:27" ht="15" customHeight="1">
      <c r="A47" s="148"/>
      <c r="B47" s="151" t="str">
        <f t="shared" si="0"/>
        <v>24</v>
      </c>
      <c r="C47" s="280" t="s">
        <v>758</v>
      </c>
      <c r="D47" s="156" t="s">
        <v>0</v>
      </c>
      <c r="E47" s="156"/>
      <c r="F47" s="156"/>
      <c r="G47" s="280" t="s">
        <v>759</v>
      </c>
      <c r="H47" s="280"/>
      <c r="I47" s="280"/>
      <c r="J47" s="280"/>
      <c r="K47" s="280"/>
      <c r="L47" s="280"/>
      <c r="M47" s="280"/>
      <c r="N47" s="280"/>
      <c r="O47" s="156" t="s">
        <v>1</v>
      </c>
      <c r="P47" s="174"/>
      <c r="Q47" s="156" t="s">
        <v>217</v>
      </c>
      <c r="R47" s="151">
        <f t="shared" si="1"/>
        <v>36</v>
      </c>
      <c r="S47" s="151">
        <v>36</v>
      </c>
      <c r="T47" s="124"/>
      <c r="U47" s="124"/>
    </row>
    <row r="48" spans="1:27" ht="15" customHeight="1">
      <c r="A48" s="148"/>
      <c r="B48" s="151" t="str">
        <f t="shared" si="0"/>
        <v>25</v>
      </c>
      <c r="C48" s="280"/>
      <c r="D48" s="156" t="s">
        <v>0</v>
      </c>
      <c r="E48" s="156"/>
      <c r="F48" s="156"/>
      <c r="G48" s="280" t="s">
        <v>760</v>
      </c>
      <c r="H48" s="280"/>
      <c r="I48" s="280"/>
      <c r="J48" s="280"/>
      <c r="K48" s="280"/>
      <c r="L48" s="280"/>
      <c r="M48" s="280"/>
      <c r="N48" s="280"/>
      <c r="O48" s="156" t="s">
        <v>1</v>
      </c>
      <c r="P48" s="174"/>
      <c r="Q48" s="156" t="s">
        <v>217</v>
      </c>
      <c r="R48" s="151">
        <f t="shared" si="1"/>
        <v>37</v>
      </c>
      <c r="S48" s="151">
        <v>37</v>
      </c>
      <c r="T48" s="124"/>
      <c r="U48" s="124"/>
    </row>
    <row r="49" spans="1:21">
      <c r="A49" s="148"/>
      <c r="B49" s="151" t="str">
        <f t="shared" si="0"/>
        <v>26</v>
      </c>
      <c r="C49" s="280" t="s">
        <v>757</v>
      </c>
      <c r="D49" s="156" t="s">
        <v>0</v>
      </c>
      <c r="E49" s="156"/>
      <c r="F49" s="156"/>
      <c r="G49" s="280" t="s">
        <v>761</v>
      </c>
      <c r="H49" s="280"/>
      <c r="I49" s="280"/>
      <c r="J49" s="280"/>
      <c r="K49" s="280"/>
      <c r="L49" s="280"/>
      <c r="M49" s="280"/>
      <c r="N49" s="280"/>
      <c r="O49" s="156" t="s">
        <v>1</v>
      </c>
      <c r="P49" s="174"/>
      <c r="Q49" s="156" t="s">
        <v>217</v>
      </c>
      <c r="R49" s="151">
        <f t="shared" si="1"/>
        <v>38</v>
      </c>
      <c r="S49" s="151">
        <v>38</v>
      </c>
      <c r="T49" s="105"/>
      <c r="U49" s="124"/>
    </row>
    <row r="50" spans="1:21" ht="15" customHeight="1">
      <c r="A50" s="148"/>
      <c r="B50" s="151" t="str">
        <f t="shared" si="0"/>
        <v>27</v>
      </c>
      <c r="C50" s="280"/>
      <c r="D50" s="156" t="s">
        <v>0</v>
      </c>
      <c r="E50" s="156"/>
      <c r="F50" s="156"/>
      <c r="G50" s="280" t="s">
        <v>762</v>
      </c>
      <c r="H50" s="280"/>
      <c r="I50" s="280"/>
      <c r="J50" s="280"/>
      <c r="K50" s="280"/>
      <c r="L50" s="280"/>
      <c r="M50" s="280"/>
      <c r="N50" s="280"/>
      <c r="O50" s="156" t="s">
        <v>1</v>
      </c>
      <c r="P50" s="174"/>
      <c r="Q50" s="156" t="s">
        <v>217</v>
      </c>
      <c r="R50" s="151">
        <f t="shared" si="1"/>
        <v>39</v>
      </c>
      <c r="S50" s="151">
        <v>39</v>
      </c>
      <c r="T50" s="105"/>
      <c r="U50" s="124"/>
    </row>
    <row r="51" spans="1:21" ht="15" customHeight="1">
      <c r="A51" s="148"/>
      <c r="B51" s="151" t="str">
        <f t="shared" si="0"/>
        <v>28</v>
      </c>
      <c r="C51" s="272" t="s">
        <v>729</v>
      </c>
      <c r="D51" s="151" t="s">
        <v>0</v>
      </c>
      <c r="E51" s="151"/>
      <c r="F51" s="151"/>
      <c r="G51" s="282" t="s">
        <v>282</v>
      </c>
      <c r="H51" s="282"/>
      <c r="I51" s="282"/>
      <c r="J51" s="282"/>
      <c r="K51" s="282"/>
      <c r="L51" s="282"/>
      <c r="M51" s="282"/>
      <c r="N51" s="282"/>
      <c r="O51" s="156" t="s">
        <v>1</v>
      </c>
      <c r="P51" s="174"/>
      <c r="Q51" s="156" t="s">
        <v>217</v>
      </c>
      <c r="R51" s="151">
        <f t="shared" si="1"/>
        <v>40</v>
      </c>
      <c r="S51" s="151">
        <v>40</v>
      </c>
      <c r="T51" s="124"/>
      <c r="U51" s="124"/>
    </row>
    <row r="52" spans="1:21" ht="15" customHeight="1">
      <c r="A52" s="148"/>
      <c r="B52" s="151" t="str">
        <f t="shared" si="0"/>
        <v>29</v>
      </c>
      <c r="C52" s="272" t="s">
        <v>283</v>
      </c>
      <c r="D52" s="151" t="s">
        <v>0</v>
      </c>
      <c r="E52" s="151"/>
      <c r="F52" s="151"/>
      <c r="G52" s="282" t="s">
        <v>284</v>
      </c>
      <c r="H52" s="282"/>
      <c r="I52" s="282"/>
      <c r="J52" s="282"/>
      <c r="K52" s="282"/>
      <c r="L52" s="282"/>
      <c r="M52" s="282"/>
      <c r="N52" s="282"/>
      <c r="O52" s="156" t="s">
        <v>1</v>
      </c>
      <c r="P52" s="174"/>
      <c r="Q52" s="156" t="s">
        <v>217</v>
      </c>
      <c r="R52" s="151">
        <f t="shared" si="1"/>
        <v>41</v>
      </c>
      <c r="S52" s="151">
        <v>41</v>
      </c>
      <c r="T52" s="124"/>
      <c r="U52" s="124"/>
    </row>
    <row r="53" spans="1:21" ht="15" customHeight="1">
      <c r="A53" s="148"/>
      <c r="B53" s="151" t="str">
        <f t="shared" si="0"/>
        <v>2A</v>
      </c>
      <c r="C53" s="146" t="s">
        <v>751</v>
      </c>
      <c r="D53" s="151" t="s">
        <v>0</v>
      </c>
      <c r="E53" s="151"/>
      <c r="F53" s="151"/>
      <c r="G53" s="282" t="s">
        <v>753</v>
      </c>
      <c r="H53" s="282"/>
      <c r="I53" s="282"/>
      <c r="J53" s="282"/>
      <c r="K53" s="282"/>
      <c r="L53" s="282"/>
      <c r="M53" s="282"/>
      <c r="N53" s="282"/>
      <c r="O53" s="156" t="s">
        <v>1</v>
      </c>
      <c r="P53" s="174"/>
      <c r="Q53" s="156" t="s">
        <v>217</v>
      </c>
      <c r="R53" s="151">
        <f t="shared" si="1"/>
        <v>42</v>
      </c>
      <c r="S53" s="151">
        <v>42</v>
      </c>
      <c r="T53" s="124"/>
      <c r="U53" s="124"/>
    </row>
    <row r="54" spans="1:21" ht="15" customHeight="1">
      <c r="A54" s="148"/>
      <c r="B54" s="151" t="str">
        <f t="shared" si="0"/>
        <v>2B</v>
      </c>
      <c r="C54" s="146" t="s">
        <v>752</v>
      </c>
      <c r="D54" s="151" t="s">
        <v>0</v>
      </c>
      <c r="E54" s="151"/>
      <c r="F54" s="151"/>
      <c r="G54" s="282" t="s">
        <v>754</v>
      </c>
      <c r="H54" s="282"/>
      <c r="I54" s="282"/>
      <c r="J54" s="282"/>
      <c r="K54" s="282"/>
      <c r="L54" s="282"/>
      <c r="M54" s="282"/>
      <c r="N54" s="282"/>
      <c r="O54" s="156" t="s">
        <v>1</v>
      </c>
      <c r="P54" s="174"/>
      <c r="Q54" s="156" t="s">
        <v>217</v>
      </c>
      <c r="R54" s="151">
        <f t="shared" si="1"/>
        <v>43</v>
      </c>
      <c r="S54" s="151">
        <v>43</v>
      </c>
      <c r="T54" s="124"/>
      <c r="U54" s="124"/>
    </row>
    <row r="55" spans="1:21" ht="15" customHeight="1">
      <c r="A55" s="148"/>
      <c r="B55" s="151" t="str">
        <f t="shared" si="0"/>
        <v>2C</v>
      </c>
      <c r="C55" s="146" t="s">
        <v>792</v>
      </c>
      <c r="D55" s="151" t="s">
        <v>0</v>
      </c>
      <c r="E55" s="151"/>
      <c r="F55" s="151"/>
      <c r="G55" s="282" t="s">
        <v>755</v>
      </c>
      <c r="H55" s="282"/>
      <c r="I55" s="282"/>
      <c r="J55" s="282"/>
      <c r="K55" s="282"/>
      <c r="L55" s="282"/>
      <c r="M55" s="282"/>
      <c r="N55" s="282"/>
      <c r="O55" s="151" t="s">
        <v>1</v>
      </c>
      <c r="P55" s="174"/>
      <c r="Q55" s="156" t="s">
        <v>217</v>
      </c>
      <c r="R55" s="151">
        <f t="shared" si="1"/>
        <v>44</v>
      </c>
      <c r="S55" s="151">
        <v>44</v>
      </c>
      <c r="T55" s="124"/>
      <c r="U55" s="124"/>
    </row>
    <row r="56" spans="1:21" ht="15" customHeight="1">
      <c r="A56" s="148"/>
      <c r="B56" s="151" t="str">
        <f t="shared" si="0"/>
        <v>2D</v>
      </c>
      <c r="C56" s="200" t="s">
        <v>791</v>
      </c>
      <c r="D56" s="151" t="s">
        <v>0</v>
      </c>
      <c r="E56" s="156"/>
      <c r="F56" s="156"/>
      <c r="G56" s="282" t="s">
        <v>756</v>
      </c>
      <c r="H56" s="282"/>
      <c r="I56" s="282"/>
      <c r="J56" s="282"/>
      <c r="K56" s="282"/>
      <c r="L56" s="282"/>
      <c r="M56" s="282"/>
      <c r="N56" s="282"/>
      <c r="O56" s="151" t="s">
        <v>1</v>
      </c>
      <c r="P56" s="174"/>
      <c r="Q56" s="156" t="s">
        <v>217</v>
      </c>
      <c r="R56" s="151">
        <f t="shared" si="1"/>
        <v>45</v>
      </c>
      <c r="S56" s="151">
        <v>45</v>
      </c>
      <c r="T56" s="105"/>
      <c r="U56" s="124"/>
    </row>
    <row r="57" spans="1:21" ht="15" customHeight="1">
      <c r="A57" s="148"/>
      <c r="B57" s="151" t="str">
        <f t="shared" si="0"/>
        <v>2E</v>
      </c>
      <c r="C57" s="146" t="s">
        <v>285</v>
      </c>
      <c r="D57" s="156" t="s">
        <v>0</v>
      </c>
      <c r="E57" s="156"/>
      <c r="F57" s="151"/>
      <c r="G57" s="181"/>
      <c r="H57" s="181"/>
      <c r="I57" s="181"/>
      <c r="J57" s="181"/>
      <c r="K57" s="181"/>
      <c r="L57" s="181"/>
      <c r="M57" s="181"/>
      <c r="N57" s="146" t="s">
        <v>285</v>
      </c>
      <c r="O57" s="156" t="s">
        <v>1</v>
      </c>
      <c r="P57" s="174"/>
      <c r="Q57" s="156" t="s">
        <v>217</v>
      </c>
      <c r="R57" s="151">
        <f t="shared" si="1"/>
        <v>46</v>
      </c>
      <c r="S57" s="151">
        <v>46</v>
      </c>
      <c r="T57" s="105"/>
      <c r="U57" s="124"/>
    </row>
    <row r="58" spans="1:21" ht="15" customHeight="1">
      <c r="A58" s="148"/>
      <c r="B58" s="151" t="str">
        <f t="shared" si="0"/>
        <v>2F</v>
      </c>
      <c r="C58" s="146" t="s">
        <v>329</v>
      </c>
      <c r="D58" s="156" t="s">
        <v>0</v>
      </c>
      <c r="E58" s="156"/>
      <c r="F58" s="151"/>
      <c r="G58" s="282" t="s">
        <v>286</v>
      </c>
      <c r="H58" s="282"/>
      <c r="I58" s="282"/>
      <c r="J58" s="282"/>
      <c r="K58" s="282"/>
      <c r="L58" s="282"/>
      <c r="M58" s="282"/>
      <c r="N58" s="282"/>
      <c r="O58" s="156" t="s">
        <v>1</v>
      </c>
      <c r="P58" s="174"/>
      <c r="Q58" s="156" t="s">
        <v>217</v>
      </c>
      <c r="R58" s="151">
        <f t="shared" si="1"/>
        <v>47</v>
      </c>
      <c r="S58" s="151">
        <v>47</v>
      </c>
      <c r="T58" s="105"/>
      <c r="U58" s="124"/>
    </row>
    <row r="59" spans="1:21" ht="16.5" customHeight="1">
      <c r="A59" s="148"/>
      <c r="B59" s="151" t="str">
        <f t="shared" si="0"/>
        <v>30</v>
      </c>
      <c r="C59" s="146" t="s">
        <v>747</v>
      </c>
      <c r="D59" s="156" t="s">
        <v>0</v>
      </c>
      <c r="E59" s="156"/>
      <c r="F59" s="151"/>
      <c r="G59" s="282" t="s">
        <v>749</v>
      </c>
      <c r="H59" s="282"/>
      <c r="I59" s="282"/>
      <c r="J59" s="282"/>
      <c r="K59" s="282"/>
      <c r="L59" s="282"/>
      <c r="M59" s="282"/>
      <c r="N59" s="282"/>
      <c r="O59" s="156" t="s">
        <v>1</v>
      </c>
      <c r="P59" s="174"/>
      <c r="Q59" s="156" t="s">
        <v>217</v>
      </c>
      <c r="R59" s="151">
        <f t="shared" si="1"/>
        <v>48</v>
      </c>
      <c r="S59" s="151">
        <v>48</v>
      </c>
      <c r="T59" s="105"/>
      <c r="U59" s="124"/>
    </row>
    <row r="60" spans="1:21">
      <c r="A60" s="148"/>
      <c r="B60" s="151" t="str">
        <f t="shared" si="0"/>
        <v>31</v>
      </c>
      <c r="C60" s="146" t="s">
        <v>748</v>
      </c>
      <c r="D60" s="156" t="s">
        <v>0</v>
      </c>
      <c r="E60" s="156"/>
      <c r="F60" s="151"/>
      <c r="G60" s="282" t="s">
        <v>750</v>
      </c>
      <c r="H60" s="282"/>
      <c r="I60" s="282"/>
      <c r="J60" s="282"/>
      <c r="K60" s="282"/>
      <c r="L60" s="282"/>
      <c r="M60" s="282"/>
      <c r="N60" s="282"/>
      <c r="O60" s="156" t="s">
        <v>1</v>
      </c>
      <c r="P60" s="174"/>
      <c r="Q60" s="156" t="s">
        <v>217</v>
      </c>
      <c r="R60" s="151">
        <f t="shared" si="1"/>
        <v>49</v>
      </c>
      <c r="S60" s="151">
        <v>49</v>
      </c>
      <c r="T60" s="105"/>
      <c r="U60" s="124"/>
    </row>
    <row r="61" spans="1:21" ht="16.5" customHeight="1">
      <c r="A61" s="148"/>
      <c r="B61" s="151" t="str">
        <f t="shared" si="0"/>
        <v>32</v>
      </c>
      <c r="C61" s="146" t="s">
        <v>703</v>
      </c>
      <c r="D61" s="151" t="s">
        <v>0</v>
      </c>
      <c r="E61" s="156"/>
      <c r="F61" s="151"/>
      <c r="G61" s="282" t="s">
        <v>704</v>
      </c>
      <c r="H61" s="282"/>
      <c r="I61" s="282"/>
      <c r="J61" s="282"/>
      <c r="K61" s="282"/>
      <c r="L61" s="282"/>
      <c r="M61" s="282"/>
      <c r="N61" s="282"/>
      <c r="O61" s="156" t="s">
        <v>1</v>
      </c>
      <c r="P61" s="174"/>
      <c r="Q61" s="156" t="s">
        <v>217</v>
      </c>
      <c r="R61" s="151">
        <f t="shared" si="1"/>
        <v>50</v>
      </c>
      <c r="S61" s="151">
        <v>50</v>
      </c>
      <c r="T61" s="105"/>
      <c r="U61" s="124"/>
    </row>
    <row r="62" spans="1:21">
      <c r="A62" s="148"/>
      <c r="B62" s="151" t="str">
        <f t="shared" si="0"/>
        <v>33</v>
      </c>
      <c r="C62" s="218" t="s">
        <v>694</v>
      </c>
      <c r="D62" s="253" t="s">
        <v>0</v>
      </c>
      <c r="E62" s="252"/>
      <c r="F62" s="252"/>
      <c r="G62" s="254"/>
      <c r="H62" s="254"/>
      <c r="I62" s="193"/>
      <c r="J62" s="193"/>
      <c r="K62" s="193"/>
      <c r="L62" s="193"/>
      <c r="M62" s="193" t="s">
        <v>695</v>
      </c>
      <c r="N62" s="193" t="s">
        <v>696</v>
      </c>
      <c r="O62" s="156" t="s">
        <v>705</v>
      </c>
      <c r="P62" s="174"/>
      <c r="Q62" s="156" t="s">
        <v>217</v>
      </c>
      <c r="R62" s="151">
        <f t="shared" si="1"/>
        <v>51</v>
      </c>
      <c r="S62" s="151">
        <v>51</v>
      </c>
      <c r="T62" s="124"/>
      <c r="U62" s="124"/>
    </row>
    <row r="63" spans="1:21" ht="28.5" customHeight="1">
      <c r="A63" s="148"/>
      <c r="B63" s="151" t="str">
        <f t="shared" si="0"/>
        <v>34</v>
      </c>
      <c r="C63" s="182" t="s">
        <v>287</v>
      </c>
      <c r="D63" s="151" t="s">
        <v>189</v>
      </c>
      <c r="E63" s="151"/>
      <c r="F63" s="151"/>
      <c r="G63" s="283" t="s">
        <v>330</v>
      </c>
      <c r="H63" s="283"/>
      <c r="I63" s="283"/>
      <c r="J63" s="283"/>
      <c r="K63" s="283"/>
      <c r="L63" s="283"/>
      <c r="M63" s="283"/>
      <c r="N63" s="283"/>
      <c r="O63" s="156"/>
      <c r="P63" s="123"/>
      <c r="Q63" s="156"/>
      <c r="R63" s="151">
        <f t="shared" si="1"/>
        <v>52</v>
      </c>
      <c r="S63" s="151">
        <v>52</v>
      </c>
      <c r="T63" s="124"/>
      <c r="U63" s="124"/>
    </row>
    <row r="64" spans="1:21" ht="16.5">
      <c r="A64" s="148"/>
      <c r="B64" s="151" t="str">
        <f t="shared" si="0"/>
        <v>35</v>
      </c>
      <c r="C64" s="182" t="s">
        <v>288</v>
      </c>
      <c r="D64" s="151" t="s">
        <v>189</v>
      </c>
      <c r="E64" s="151"/>
      <c r="F64" s="151"/>
      <c r="G64" s="284" t="s">
        <v>289</v>
      </c>
      <c r="H64" s="285"/>
      <c r="I64" s="285"/>
      <c r="J64" s="285"/>
      <c r="K64" s="285"/>
      <c r="L64" s="285"/>
      <c r="M64" s="285"/>
      <c r="N64" s="286"/>
      <c r="O64" s="156"/>
      <c r="P64" s="123"/>
      <c r="Q64" s="156"/>
      <c r="R64" s="151">
        <f t="shared" si="1"/>
        <v>53</v>
      </c>
      <c r="S64" s="151">
        <v>53</v>
      </c>
      <c r="T64" s="124"/>
      <c r="U64" s="124"/>
    </row>
    <row r="65" spans="1:21">
      <c r="A65" s="148"/>
      <c r="B65" s="154" t="str">
        <f t="shared" si="0"/>
        <v>36</v>
      </c>
      <c r="C65" s="184" t="s">
        <v>290</v>
      </c>
      <c r="D65" s="151" t="s">
        <v>0</v>
      </c>
      <c r="E65" s="151"/>
      <c r="F65" s="151"/>
      <c r="G65" s="184" t="s">
        <v>331</v>
      </c>
      <c r="H65" s="185"/>
      <c r="I65" s="185"/>
      <c r="J65" s="184" t="s">
        <v>291</v>
      </c>
      <c r="K65" s="184" t="s">
        <v>292</v>
      </c>
      <c r="L65" s="184" t="s">
        <v>293</v>
      </c>
      <c r="M65" s="184" t="s">
        <v>294</v>
      </c>
      <c r="N65" s="184" t="s">
        <v>295</v>
      </c>
      <c r="O65" s="156" t="s">
        <v>1</v>
      </c>
      <c r="P65" s="174"/>
      <c r="Q65" s="156" t="s">
        <v>217</v>
      </c>
      <c r="R65" s="151">
        <f t="shared" si="1"/>
        <v>54</v>
      </c>
      <c r="S65" s="151">
        <v>54</v>
      </c>
      <c r="T65" s="124"/>
      <c r="U65" s="124"/>
    </row>
    <row r="66" spans="1:21">
      <c r="A66" s="148"/>
      <c r="B66" s="154" t="str">
        <f t="shared" si="0"/>
        <v>37</v>
      </c>
      <c r="C66" s="186" t="s">
        <v>296</v>
      </c>
      <c r="D66" s="151" t="s">
        <v>197</v>
      </c>
      <c r="E66" s="151"/>
      <c r="F66" s="151"/>
      <c r="G66" s="185"/>
      <c r="H66" s="185"/>
      <c r="I66" s="185"/>
      <c r="J66" s="187"/>
      <c r="K66" s="186" t="s">
        <v>297</v>
      </c>
      <c r="L66" s="186" t="s">
        <v>298</v>
      </c>
      <c r="M66" s="186" t="s">
        <v>299</v>
      </c>
      <c r="N66" s="186" t="s">
        <v>300</v>
      </c>
      <c r="O66" s="156" t="s">
        <v>1</v>
      </c>
      <c r="P66" s="174"/>
      <c r="Q66" s="156" t="s">
        <v>217</v>
      </c>
      <c r="R66" s="151">
        <f t="shared" si="1"/>
        <v>55</v>
      </c>
      <c r="S66" s="151">
        <v>55</v>
      </c>
      <c r="T66" s="124"/>
    </row>
    <row r="67" spans="1:21">
      <c r="A67" s="148"/>
      <c r="B67" s="154" t="str">
        <f t="shared" si="0"/>
        <v>38</v>
      </c>
      <c r="C67" s="184" t="s">
        <v>301</v>
      </c>
      <c r="D67" s="151" t="s">
        <v>0</v>
      </c>
      <c r="E67" s="151"/>
      <c r="F67" s="151"/>
      <c r="G67" s="185"/>
      <c r="H67" s="185"/>
      <c r="I67" s="287" t="s">
        <v>332</v>
      </c>
      <c r="J67" s="288"/>
      <c r="K67" s="288"/>
      <c r="L67" s="288"/>
      <c r="M67" s="288"/>
      <c r="N67" s="289"/>
      <c r="O67" s="156" t="s">
        <v>1</v>
      </c>
      <c r="P67" s="174"/>
      <c r="Q67" s="156" t="s">
        <v>217</v>
      </c>
      <c r="R67" s="154">
        <f t="shared" si="1"/>
        <v>56</v>
      </c>
      <c r="S67" s="151">
        <v>56</v>
      </c>
      <c r="T67" s="124"/>
    </row>
    <row r="68" spans="1:21">
      <c r="A68" s="148"/>
      <c r="B68" s="154" t="str">
        <f t="shared" si="0"/>
        <v>39</v>
      </c>
      <c r="C68" s="188" t="s">
        <v>302</v>
      </c>
      <c r="D68" s="151" t="s">
        <v>189</v>
      </c>
      <c r="E68" s="151"/>
      <c r="F68" s="151"/>
      <c r="G68" s="187"/>
      <c r="H68" s="187"/>
      <c r="I68" s="187"/>
      <c r="J68" s="187"/>
      <c r="K68" s="187"/>
      <c r="L68" s="188" t="s">
        <v>303</v>
      </c>
      <c r="M68" s="188" t="s">
        <v>304</v>
      </c>
      <c r="N68" s="188" t="s">
        <v>305</v>
      </c>
      <c r="O68" s="156" t="s">
        <v>1</v>
      </c>
      <c r="P68" s="174"/>
      <c r="Q68" s="156" t="s">
        <v>217</v>
      </c>
      <c r="R68" s="154">
        <f t="shared" si="1"/>
        <v>57</v>
      </c>
      <c r="S68" s="151">
        <v>57</v>
      </c>
      <c r="T68" s="189" t="s">
        <v>306</v>
      </c>
    </row>
    <row r="69" spans="1:21">
      <c r="A69" s="148"/>
      <c r="B69" s="154" t="str">
        <f t="shared" si="0"/>
        <v>3A</v>
      </c>
      <c r="C69" s="184" t="s">
        <v>307</v>
      </c>
      <c r="D69" s="151" t="s">
        <v>0</v>
      </c>
      <c r="E69" s="151"/>
      <c r="F69" s="151"/>
      <c r="G69" s="184" t="s">
        <v>220</v>
      </c>
      <c r="H69" s="287" t="s">
        <v>333</v>
      </c>
      <c r="I69" s="288"/>
      <c r="J69" s="288"/>
      <c r="K69" s="288"/>
      <c r="L69" s="288"/>
      <c r="M69" s="288"/>
      <c r="N69" s="289"/>
      <c r="O69" s="151" t="s">
        <v>308</v>
      </c>
      <c r="P69" s="174"/>
      <c r="Q69" s="156" t="s">
        <v>217</v>
      </c>
      <c r="R69" s="154">
        <f t="shared" si="1"/>
        <v>58</v>
      </c>
      <c r="S69" s="151">
        <v>58</v>
      </c>
      <c r="T69" s="189" t="s">
        <v>306</v>
      </c>
      <c r="U69" s="105"/>
    </row>
    <row r="70" spans="1:21" ht="16.5" customHeight="1">
      <c r="A70" s="148"/>
      <c r="B70" s="154" t="str">
        <f t="shared" si="0"/>
        <v>3B</v>
      </c>
      <c r="C70" s="184" t="s">
        <v>309</v>
      </c>
      <c r="D70" s="151" t="s">
        <v>0</v>
      </c>
      <c r="E70" s="151"/>
      <c r="F70" s="151"/>
      <c r="G70" s="281" t="s">
        <v>310</v>
      </c>
      <c r="H70" s="281"/>
      <c r="I70" s="281"/>
      <c r="J70" s="281"/>
      <c r="K70" s="281"/>
      <c r="L70" s="281"/>
      <c r="M70" s="281"/>
      <c r="N70" s="281"/>
      <c r="O70" s="151" t="s">
        <v>1</v>
      </c>
      <c r="P70" s="174"/>
      <c r="Q70" s="156" t="s">
        <v>217</v>
      </c>
      <c r="R70" s="154">
        <f t="shared" si="1"/>
        <v>59</v>
      </c>
      <c r="S70" s="151">
        <v>59</v>
      </c>
      <c r="T70" s="189" t="s">
        <v>306</v>
      </c>
    </row>
    <row r="71" spans="1:21">
      <c r="A71" s="148"/>
      <c r="B71" s="154" t="str">
        <f t="shared" si="0"/>
        <v>3C</v>
      </c>
      <c r="C71" s="184" t="s">
        <v>311</v>
      </c>
      <c r="D71" s="151" t="s">
        <v>0</v>
      </c>
      <c r="E71" s="151"/>
      <c r="F71" s="151"/>
      <c r="G71" s="281" t="s">
        <v>312</v>
      </c>
      <c r="H71" s="281"/>
      <c r="I71" s="281"/>
      <c r="J71" s="281"/>
      <c r="K71" s="281"/>
      <c r="L71" s="281"/>
      <c r="M71" s="281"/>
      <c r="N71" s="281"/>
      <c r="O71" s="156" t="s">
        <v>1</v>
      </c>
      <c r="P71" s="174"/>
      <c r="Q71" s="156" t="s">
        <v>217</v>
      </c>
      <c r="R71" s="151">
        <f t="shared" si="1"/>
        <v>60</v>
      </c>
      <c r="S71" s="151">
        <v>60</v>
      </c>
      <c r="T71" s="189" t="s">
        <v>306</v>
      </c>
    </row>
    <row r="72" spans="1:21">
      <c r="A72" s="148"/>
      <c r="B72" s="154" t="str">
        <f t="shared" si="0"/>
        <v>3D</v>
      </c>
      <c r="C72" s="184" t="s">
        <v>313</v>
      </c>
      <c r="D72" s="151" t="s">
        <v>0</v>
      </c>
      <c r="E72" s="151"/>
      <c r="F72" s="151"/>
      <c r="G72" s="281" t="s">
        <v>314</v>
      </c>
      <c r="H72" s="281"/>
      <c r="I72" s="281"/>
      <c r="J72" s="281"/>
      <c r="K72" s="281"/>
      <c r="L72" s="281"/>
      <c r="M72" s="281"/>
      <c r="N72" s="281"/>
      <c r="O72" s="151" t="s">
        <v>1</v>
      </c>
      <c r="P72" s="174"/>
      <c r="Q72" s="156" t="s">
        <v>217</v>
      </c>
      <c r="R72" s="151">
        <f t="shared" si="1"/>
        <v>61</v>
      </c>
      <c r="S72" s="151">
        <v>61</v>
      </c>
      <c r="T72" s="189" t="s">
        <v>306</v>
      </c>
    </row>
    <row r="73" spans="1:21">
      <c r="A73" s="148"/>
      <c r="B73" s="154" t="str">
        <f t="shared" si="0"/>
        <v>3E</v>
      </c>
      <c r="C73" s="184" t="s">
        <v>315</v>
      </c>
      <c r="D73" s="151" t="s">
        <v>0</v>
      </c>
      <c r="E73" s="151"/>
      <c r="F73" s="151"/>
      <c r="G73" s="281" t="s">
        <v>316</v>
      </c>
      <c r="H73" s="281"/>
      <c r="I73" s="281"/>
      <c r="J73" s="281"/>
      <c r="K73" s="281"/>
      <c r="L73" s="281"/>
      <c r="M73" s="281"/>
      <c r="N73" s="281"/>
      <c r="O73" s="151" t="s">
        <v>1</v>
      </c>
      <c r="P73" s="174"/>
      <c r="Q73" s="156" t="s">
        <v>217</v>
      </c>
      <c r="R73" s="151">
        <f t="shared" si="1"/>
        <v>62</v>
      </c>
      <c r="S73" s="151">
        <v>62</v>
      </c>
      <c r="T73" s="189" t="s">
        <v>306</v>
      </c>
    </row>
    <row r="74" spans="1:21">
      <c r="A74" s="148"/>
      <c r="B74" s="154" t="str">
        <f t="shared" si="0"/>
        <v>3F</v>
      </c>
      <c r="C74" s="184" t="s">
        <v>317</v>
      </c>
      <c r="D74" s="151" t="s">
        <v>0</v>
      </c>
      <c r="E74" s="151"/>
      <c r="F74" s="151"/>
      <c r="G74" s="281" t="s">
        <v>318</v>
      </c>
      <c r="H74" s="281"/>
      <c r="I74" s="281"/>
      <c r="J74" s="281"/>
      <c r="K74" s="281"/>
      <c r="L74" s="281"/>
      <c r="M74" s="281"/>
      <c r="N74" s="281"/>
      <c r="O74" s="151" t="s">
        <v>1</v>
      </c>
      <c r="P74" s="157"/>
      <c r="Q74" s="156" t="s">
        <v>217</v>
      </c>
      <c r="R74" s="151">
        <f t="shared" si="1"/>
        <v>63</v>
      </c>
      <c r="S74" s="151">
        <v>63</v>
      </c>
      <c r="T74" s="189" t="s">
        <v>306</v>
      </c>
    </row>
    <row r="75" spans="1:21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</row>
    <row r="76" spans="1:21">
      <c r="R76" s="2"/>
    </row>
    <row r="77" spans="1:21">
      <c r="P77" s="20"/>
      <c r="Q77" s="20"/>
      <c r="R77" s="20"/>
    </row>
    <row r="78" spans="1:21">
      <c r="P78" s="20"/>
      <c r="Q78" s="20"/>
      <c r="R78" s="20"/>
    </row>
    <row r="79" spans="1:21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1:21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3:18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3:18"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3:18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3:18"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3:18"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3:18"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3:18"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3:18"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3:18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3:18"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3:18"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3:18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</sheetData>
  <mergeCells count="84">
    <mergeCell ref="C47:C48"/>
    <mergeCell ref="G41:N41"/>
    <mergeCell ref="G42:N42"/>
    <mergeCell ref="G37:N37"/>
    <mergeCell ref="G47:N47"/>
    <mergeCell ref="G38:N38"/>
    <mergeCell ref="G44:J44"/>
    <mergeCell ref="K44:N44"/>
    <mergeCell ref="G51:N51"/>
    <mergeCell ref="G49:N49"/>
    <mergeCell ref="G50:N50"/>
    <mergeCell ref="G45:N45"/>
    <mergeCell ref="G48:N48"/>
    <mergeCell ref="G46:N46"/>
    <mergeCell ref="X9:X12"/>
    <mergeCell ref="U9:U16"/>
    <mergeCell ref="X13:X16"/>
    <mergeCell ref="L10:N10"/>
    <mergeCell ref="G36:N36"/>
    <mergeCell ref="G23:N23"/>
    <mergeCell ref="G25:N25"/>
    <mergeCell ref="G26:N26"/>
    <mergeCell ref="G27:N27"/>
    <mergeCell ref="G28:N28"/>
    <mergeCell ref="G29:N29"/>
    <mergeCell ref="G30:N30"/>
    <mergeCell ref="U19:U21"/>
    <mergeCell ref="G21:N21"/>
    <mergeCell ref="G35:N35"/>
    <mergeCell ref="G32:N32"/>
    <mergeCell ref="G54:N54"/>
    <mergeCell ref="G55:N55"/>
    <mergeCell ref="G56:N56"/>
    <mergeCell ref="B3:C5"/>
    <mergeCell ref="G8:N8"/>
    <mergeCell ref="G17:N17"/>
    <mergeCell ref="G9:L9"/>
    <mergeCell ref="G20:K20"/>
    <mergeCell ref="G19:N19"/>
    <mergeCell ref="B10:B11"/>
    <mergeCell ref="B12:B13"/>
    <mergeCell ref="B14:B15"/>
    <mergeCell ref="C17:C18"/>
    <mergeCell ref="C19:C20"/>
    <mergeCell ref="C35:C36"/>
    <mergeCell ref="C37:C38"/>
    <mergeCell ref="R14:R15"/>
    <mergeCell ref="S14:S15"/>
    <mergeCell ref="G18:N18"/>
    <mergeCell ref="K43:N43"/>
    <mergeCell ref="O10:O11"/>
    <mergeCell ref="Q10:Q11"/>
    <mergeCell ref="R10:R11"/>
    <mergeCell ref="S10:S11"/>
    <mergeCell ref="R12:R13"/>
    <mergeCell ref="S12:S13"/>
    <mergeCell ref="G33:N33"/>
    <mergeCell ref="G34:N34"/>
    <mergeCell ref="G13:N13"/>
    <mergeCell ref="G39:N39"/>
    <mergeCell ref="G40:N40"/>
    <mergeCell ref="C21:C22"/>
    <mergeCell ref="G22:K22"/>
    <mergeCell ref="G24:K24"/>
    <mergeCell ref="C33:C34"/>
    <mergeCell ref="G31:N31"/>
    <mergeCell ref="C23:C24"/>
    <mergeCell ref="C31:C32"/>
    <mergeCell ref="C49:C50"/>
    <mergeCell ref="G73:N73"/>
    <mergeCell ref="G74:N74"/>
    <mergeCell ref="G59:N59"/>
    <mergeCell ref="G63:N63"/>
    <mergeCell ref="G64:N64"/>
    <mergeCell ref="I67:N67"/>
    <mergeCell ref="H69:N69"/>
    <mergeCell ref="G53:N53"/>
    <mergeCell ref="G52:N52"/>
    <mergeCell ref="G72:N72"/>
    <mergeCell ref="G71:N71"/>
    <mergeCell ref="G58:N58"/>
    <mergeCell ref="G60:N60"/>
    <mergeCell ref="G61:N61"/>
    <mergeCell ref="G70:N70"/>
  </mergeCells>
  <phoneticPr fontId="29" type="noConversion"/>
  <pageMargins left="0.70866141732283472" right="0.70866141732283472" top="0.74803149606299213" bottom="0.74803149606299213" header="0.31496062992125984" footer="0.31496062992125984"/>
  <pageSetup paperSize="9" scale="3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2"/>
  <sheetViews>
    <sheetView zoomScale="80" zoomScaleNormal="80" workbookViewId="0">
      <pane xSplit="6" ySplit="7" topLeftCell="G44" activePane="bottomRight" state="frozen"/>
      <selection pane="topRight" activeCell="E1" sqref="E1"/>
      <selection pane="bottomLeft" activeCell="A5" sqref="A5"/>
      <selection pane="bottomRight" activeCell="D3" sqref="D3"/>
    </sheetView>
  </sheetViews>
  <sheetFormatPr defaultColWidth="9" defaultRowHeight="13.5"/>
  <cols>
    <col min="1" max="1" width="2.875" style="19" customWidth="1"/>
    <col min="2" max="2" width="7.625" style="19" bestFit="1" customWidth="1"/>
    <col min="3" max="3" width="23.5" style="19" bestFit="1" customWidth="1"/>
    <col min="4" max="4" width="4.25" style="19" bestFit="1" customWidth="1"/>
    <col min="5" max="5" width="4.25" style="19" customWidth="1"/>
    <col min="6" max="6" width="4.375" style="19" customWidth="1"/>
    <col min="7" max="14" width="17" style="19" customWidth="1"/>
    <col min="15" max="15" width="10.875" style="19" customWidth="1"/>
    <col min="16" max="16" width="5.25" style="19" hidden="1" customWidth="1"/>
    <col min="17" max="17" width="9" style="19" customWidth="1"/>
    <col min="18" max="16384" width="9" style="19"/>
  </cols>
  <sheetData>
    <row r="1" spans="1:33" ht="17.25" thickBot="1">
      <c r="A1" s="259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</row>
    <row r="2" spans="1:33" ht="16.5">
      <c r="A2" s="259"/>
      <c r="B2" s="259"/>
      <c r="C2" s="259"/>
      <c r="D2" s="259"/>
      <c r="E2" s="259"/>
      <c r="F2" s="259"/>
      <c r="G2" s="260" t="s">
        <v>189</v>
      </c>
      <c r="H2" s="261" t="s">
        <v>190</v>
      </c>
      <c r="I2" s="259"/>
      <c r="J2" s="260" t="s">
        <v>125</v>
      </c>
      <c r="K2" s="261" t="s">
        <v>191</v>
      </c>
      <c r="L2" s="259"/>
      <c r="M2" s="259"/>
      <c r="N2" s="259"/>
      <c r="O2" s="259"/>
      <c r="P2" s="259"/>
      <c r="Q2" s="259"/>
      <c r="R2" s="259"/>
      <c r="S2" s="259"/>
      <c r="T2" s="259"/>
    </row>
    <row r="3" spans="1:33" ht="17.25" thickBot="1">
      <c r="A3" s="123"/>
      <c r="B3" s="295" t="s">
        <v>803</v>
      </c>
      <c r="C3" s="296"/>
      <c r="D3" s="266"/>
      <c r="E3" s="266"/>
      <c r="F3" s="266"/>
      <c r="G3" s="267" t="s">
        <v>0</v>
      </c>
      <c r="H3" s="268" t="s">
        <v>194</v>
      </c>
      <c r="I3" s="259"/>
      <c r="J3" s="269" t="s">
        <v>195</v>
      </c>
      <c r="K3" s="270" t="s">
        <v>196</v>
      </c>
      <c r="L3" s="259"/>
      <c r="M3" s="259"/>
      <c r="N3" s="259"/>
      <c r="O3" s="259"/>
      <c r="P3" s="259"/>
      <c r="Q3" s="259"/>
      <c r="R3" s="259"/>
      <c r="S3" s="259"/>
      <c r="T3" s="259"/>
    </row>
    <row r="4" spans="1:33" ht="17.25" thickBot="1">
      <c r="A4" s="123"/>
      <c r="B4" s="296"/>
      <c r="C4" s="296"/>
      <c r="D4" s="266"/>
      <c r="E4" s="266"/>
      <c r="F4" s="266"/>
      <c r="G4" s="269" t="s">
        <v>197</v>
      </c>
      <c r="H4" s="270" t="s">
        <v>198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</row>
    <row r="5" spans="1:33" ht="16.5">
      <c r="A5" s="123"/>
      <c r="B5" s="296"/>
      <c r="C5" s="296"/>
      <c r="D5" s="266"/>
      <c r="E5" s="266"/>
      <c r="F5" s="266"/>
      <c r="G5" s="271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</row>
    <row r="6" spans="1:33" ht="16.5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</row>
    <row r="7" spans="1:33" ht="16.5" customHeight="1">
      <c r="A7" s="123"/>
      <c r="B7" s="149" t="s">
        <v>199</v>
      </c>
      <c r="C7" s="150" t="s">
        <v>200</v>
      </c>
      <c r="D7" s="149" t="s">
        <v>0</v>
      </c>
      <c r="E7" s="149" t="s">
        <v>125</v>
      </c>
      <c r="F7" s="149" t="s">
        <v>201</v>
      </c>
      <c r="G7" s="149" t="s">
        <v>202</v>
      </c>
      <c r="H7" s="149" t="s">
        <v>203</v>
      </c>
      <c r="I7" s="149" t="s">
        <v>204</v>
      </c>
      <c r="J7" s="149" t="s">
        <v>205</v>
      </c>
      <c r="K7" s="149" t="s">
        <v>206</v>
      </c>
      <c r="L7" s="149" t="s">
        <v>207</v>
      </c>
      <c r="M7" s="149" t="s">
        <v>208</v>
      </c>
      <c r="N7" s="149" t="s">
        <v>209</v>
      </c>
      <c r="O7" s="149" t="s">
        <v>210</v>
      </c>
      <c r="P7" s="149" t="s">
        <v>211</v>
      </c>
      <c r="Q7" s="149" t="s">
        <v>212</v>
      </c>
      <c r="R7" s="149" t="s">
        <v>213</v>
      </c>
      <c r="S7" s="149" t="s">
        <v>214</v>
      </c>
      <c r="T7" s="259"/>
    </row>
    <row r="8" spans="1:33" ht="15" customHeight="1">
      <c r="A8" s="123"/>
      <c r="B8" s="151" t="str">
        <f t="shared" ref="B8:B71" si="0">DEC2HEX(R8)</f>
        <v>40</v>
      </c>
      <c r="C8" s="146" t="s">
        <v>11</v>
      </c>
      <c r="D8" s="151" t="s">
        <v>0</v>
      </c>
      <c r="E8" s="165" t="s">
        <v>125</v>
      </c>
      <c r="F8" s="190" t="s">
        <v>187</v>
      </c>
      <c r="G8" s="309" t="s">
        <v>334</v>
      </c>
      <c r="H8" s="309"/>
      <c r="I8" s="309"/>
      <c r="J8" s="309"/>
      <c r="K8" s="309"/>
      <c r="L8" s="309"/>
      <c r="M8" s="309"/>
      <c r="N8" s="309"/>
      <c r="O8" s="156" t="s">
        <v>1</v>
      </c>
      <c r="P8" s="160" t="s">
        <v>216</v>
      </c>
      <c r="Q8" s="156" t="s">
        <v>24</v>
      </c>
      <c r="R8" s="151">
        <v>64</v>
      </c>
      <c r="S8" s="151">
        <v>0</v>
      </c>
      <c r="T8" s="148"/>
      <c r="U8" s="21"/>
      <c r="V8" s="21"/>
      <c r="W8" s="21"/>
    </row>
    <row r="9" spans="1:33" ht="15" customHeight="1">
      <c r="A9" s="123"/>
      <c r="B9" s="151" t="str">
        <f t="shared" si="0"/>
        <v>41</v>
      </c>
      <c r="C9" s="146" t="s">
        <v>12</v>
      </c>
      <c r="D9" s="151" t="s">
        <v>0</v>
      </c>
      <c r="E9" s="165" t="s">
        <v>125</v>
      </c>
      <c r="F9" s="190" t="s">
        <v>187</v>
      </c>
      <c r="G9" s="309" t="s">
        <v>335</v>
      </c>
      <c r="H9" s="309"/>
      <c r="I9" s="309"/>
      <c r="J9" s="309"/>
      <c r="K9" s="309"/>
      <c r="L9" s="309"/>
      <c r="M9" s="309"/>
      <c r="N9" s="309"/>
      <c r="O9" s="156" t="s">
        <v>1</v>
      </c>
      <c r="P9" s="282" t="s">
        <v>336</v>
      </c>
      <c r="Q9" s="156" t="s">
        <v>24</v>
      </c>
      <c r="R9" s="151">
        <f t="shared" ref="R9:R71" si="1">R8+1</f>
        <v>65</v>
      </c>
      <c r="S9" s="151">
        <v>1</v>
      </c>
      <c r="T9" s="148"/>
      <c r="U9" s="21"/>
      <c r="V9" s="21"/>
      <c r="W9" s="21"/>
    </row>
    <row r="10" spans="1:33" ht="15" customHeight="1">
      <c r="A10" s="123"/>
      <c r="B10" s="151" t="str">
        <f t="shared" si="0"/>
        <v>42</v>
      </c>
      <c r="C10" s="146" t="s">
        <v>13</v>
      </c>
      <c r="D10" s="151" t="s">
        <v>0</v>
      </c>
      <c r="E10" s="165" t="s">
        <v>125</v>
      </c>
      <c r="F10" s="190" t="s">
        <v>187</v>
      </c>
      <c r="G10" s="309" t="s">
        <v>337</v>
      </c>
      <c r="H10" s="309"/>
      <c r="I10" s="309"/>
      <c r="J10" s="309"/>
      <c r="K10" s="309"/>
      <c r="L10" s="309"/>
      <c r="M10" s="309"/>
      <c r="N10" s="309"/>
      <c r="O10" s="156" t="s">
        <v>1</v>
      </c>
      <c r="P10" s="282"/>
      <c r="Q10" s="156" t="s">
        <v>24</v>
      </c>
      <c r="R10" s="151">
        <f t="shared" si="1"/>
        <v>66</v>
      </c>
      <c r="S10" s="151">
        <v>2</v>
      </c>
      <c r="T10" s="148"/>
      <c r="U10" s="21"/>
      <c r="V10" s="3"/>
      <c r="W10" s="5"/>
    </row>
    <row r="11" spans="1:33" ht="15" customHeight="1">
      <c r="A11" s="123"/>
      <c r="B11" s="151" t="str">
        <f t="shared" si="0"/>
        <v>43</v>
      </c>
      <c r="C11" s="146" t="s">
        <v>14</v>
      </c>
      <c r="D11" s="151" t="s">
        <v>0</v>
      </c>
      <c r="E11" s="165" t="s">
        <v>125</v>
      </c>
      <c r="F11" s="190" t="s">
        <v>187</v>
      </c>
      <c r="G11" s="309" t="s">
        <v>338</v>
      </c>
      <c r="H11" s="309"/>
      <c r="I11" s="309"/>
      <c r="J11" s="309"/>
      <c r="K11" s="309"/>
      <c r="L11" s="309"/>
      <c r="M11" s="309"/>
      <c r="N11" s="309"/>
      <c r="O11" s="156" t="s">
        <v>1</v>
      </c>
      <c r="P11" s="282"/>
      <c r="Q11" s="156" t="s">
        <v>24</v>
      </c>
      <c r="R11" s="151">
        <f t="shared" si="1"/>
        <v>67</v>
      </c>
      <c r="S11" s="151">
        <v>3</v>
      </c>
      <c r="T11" s="148"/>
      <c r="U11" s="21"/>
      <c r="V11" s="21"/>
      <c r="W11" s="21"/>
    </row>
    <row r="12" spans="1:33" ht="15" customHeight="1">
      <c r="A12" s="148"/>
      <c r="B12" s="151" t="str">
        <f t="shared" si="0"/>
        <v>44</v>
      </c>
      <c r="C12" s="146" t="s">
        <v>339</v>
      </c>
      <c r="D12" s="151" t="s">
        <v>0</v>
      </c>
      <c r="E12" s="165" t="s">
        <v>125</v>
      </c>
      <c r="F12" s="190" t="s">
        <v>187</v>
      </c>
      <c r="G12" s="309" t="s">
        <v>340</v>
      </c>
      <c r="H12" s="309"/>
      <c r="I12" s="309"/>
      <c r="J12" s="309"/>
      <c r="K12" s="309"/>
      <c r="L12" s="309"/>
      <c r="M12" s="309"/>
      <c r="N12" s="309"/>
      <c r="O12" s="156" t="s">
        <v>1</v>
      </c>
      <c r="P12" s="282"/>
      <c r="Q12" s="156" t="s">
        <v>24</v>
      </c>
      <c r="R12" s="151">
        <f t="shared" si="1"/>
        <v>68</v>
      </c>
      <c r="S12" s="151">
        <v>4</v>
      </c>
      <c r="T12" s="191"/>
      <c r="U12" s="22"/>
      <c r="V12" s="22"/>
      <c r="W12" s="22"/>
    </row>
    <row r="13" spans="1:33" ht="15" customHeight="1">
      <c r="A13" s="123"/>
      <c r="B13" s="151" t="str">
        <f t="shared" si="0"/>
        <v>45</v>
      </c>
      <c r="C13" s="192" t="s">
        <v>341</v>
      </c>
      <c r="D13" s="151" t="s">
        <v>0</v>
      </c>
      <c r="E13" s="165" t="s">
        <v>125</v>
      </c>
      <c r="F13" s="190" t="s">
        <v>187</v>
      </c>
      <c r="G13" s="311" t="s">
        <v>342</v>
      </c>
      <c r="H13" s="312"/>
      <c r="I13" s="313"/>
      <c r="J13" s="311" t="s">
        <v>343</v>
      </c>
      <c r="K13" s="313"/>
      <c r="L13" s="311" t="s">
        <v>344</v>
      </c>
      <c r="M13" s="312"/>
      <c r="N13" s="313"/>
      <c r="O13" s="156" t="s">
        <v>345</v>
      </c>
      <c r="P13" s="282"/>
      <c r="Q13" s="156" t="s">
        <v>24</v>
      </c>
      <c r="R13" s="151">
        <f t="shared" si="1"/>
        <v>69</v>
      </c>
      <c r="S13" s="151">
        <v>5</v>
      </c>
      <c r="T13" s="148"/>
      <c r="U13" s="319"/>
      <c r="V13" s="319"/>
      <c r="W13" s="319"/>
      <c r="X13" s="319"/>
      <c r="Y13" s="319"/>
      <c r="Z13" s="319"/>
      <c r="AA13" s="319"/>
      <c r="AB13" s="319"/>
      <c r="AC13" s="18"/>
      <c r="AD13" s="18"/>
      <c r="AE13" s="18"/>
      <c r="AF13" s="18"/>
      <c r="AG13" s="18"/>
    </row>
    <row r="14" spans="1:33" ht="15" customHeight="1">
      <c r="A14" s="123"/>
      <c r="B14" s="151" t="str">
        <f t="shared" si="0"/>
        <v>46</v>
      </c>
      <c r="C14" s="146" t="s">
        <v>15</v>
      </c>
      <c r="D14" s="151" t="s">
        <v>0</v>
      </c>
      <c r="E14" s="165" t="s">
        <v>125</v>
      </c>
      <c r="F14" s="190" t="s">
        <v>187</v>
      </c>
      <c r="G14" s="309" t="s">
        <v>346</v>
      </c>
      <c r="H14" s="309"/>
      <c r="I14" s="309"/>
      <c r="J14" s="309"/>
      <c r="K14" s="309"/>
      <c r="L14" s="309"/>
      <c r="M14" s="309"/>
      <c r="N14" s="309"/>
      <c r="O14" s="156" t="s">
        <v>1</v>
      </c>
      <c r="P14" s="282"/>
      <c r="Q14" s="156" t="s">
        <v>24</v>
      </c>
      <c r="R14" s="151">
        <f t="shared" si="1"/>
        <v>70</v>
      </c>
      <c r="S14" s="151">
        <v>6</v>
      </c>
      <c r="T14" s="191"/>
      <c r="U14" s="22"/>
      <c r="V14" s="22"/>
      <c r="W14" s="22"/>
    </row>
    <row r="15" spans="1:33" ht="15" customHeight="1">
      <c r="A15" s="123"/>
      <c r="B15" s="151" t="str">
        <f t="shared" si="0"/>
        <v>47</v>
      </c>
      <c r="C15" s="146" t="s">
        <v>16</v>
      </c>
      <c r="D15" s="151" t="s">
        <v>0</v>
      </c>
      <c r="E15" s="165" t="s">
        <v>125</v>
      </c>
      <c r="F15" s="190" t="s">
        <v>187</v>
      </c>
      <c r="G15" s="309" t="s">
        <v>347</v>
      </c>
      <c r="H15" s="309"/>
      <c r="I15" s="309"/>
      <c r="J15" s="309"/>
      <c r="K15" s="309"/>
      <c r="L15" s="309"/>
      <c r="M15" s="309"/>
      <c r="N15" s="309"/>
      <c r="O15" s="156" t="s">
        <v>1</v>
      </c>
      <c r="P15" s="282"/>
      <c r="Q15" s="156" t="s">
        <v>24</v>
      </c>
      <c r="R15" s="151">
        <f t="shared" si="1"/>
        <v>71</v>
      </c>
      <c r="S15" s="151">
        <v>7</v>
      </c>
      <c r="T15" s="191"/>
      <c r="U15" s="22"/>
      <c r="V15" s="22"/>
      <c r="W15" s="22"/>
    </row>
    <row r="16" spans="1:33" ht="15" customHeight="1">
      <c r="A16" s="123"/>
      <c r="B16" s="151" t="str">
        <f t="shared" si="0"/>
        <v>48</v>
      </c>
      <c r="C16" s="272" t="s">
        <v>348</v>
      </c>
      <c r="D16" s="151" t="s">
        <v>0</v>
      </c>
      <c r="E16" s="165" t="s">
        <v>125</v>
      </c>
      <c r="F16" s="190" t="s">
        <v>187</v>
      </c>
      <c r="G16" s="309" t="s">
        <v>719</v>
      </c>
      <c r="H16" s="309"/>
      <c r="I16" s="309"/>
      <c r="J16" s="309"/>
      <c r="K16" s="309"/>
      <c r="L16" s="309"/>
      <c r="M16" s="309"/>
      <c r="N16" s="309"/>
      <c r="O16" s="156" t="s">
        <v>349</v>
      </c>
      <c r="P16" s="282"/>
      <c r="Q16" s="156" t="s">
        <v>24</v>
      </c>
      <c r="R16" s="151">
        <f t="shared" si="1"/>
        <v>72</v>
      </c>
      <c r="S16" s="151">
        <v>8</v>
      </c>
      <c r="T16" s="191"/>
      <c r="U16" s="22"/>
      <c r="V16" s="22"/>
      <c r="W16" s="22"/>
    </row>
    <row r="17" spans="1:33" ht="15" customHeight="1">
      <c r="A17" s="123"/>
      <c r="B17" s="151" t="str">
        <f t="shared" si="0"/>
        <v>49</v>
      </c>
      <c r="C17" s="272" t="s">
        <v>350</v>
      </c>
      <c r="D17" s="151" t="s">
        <v>0</v>
      </c>
      <c r="E17" s="165" t="s">
        <v>125</v>
      </c>
      <c r="F17" s="190" t="s">
        <v>187</v>
      </c>
      <c r="G17" s="309" t="s">
        <v>720</v>
      </c>
      <c r="H17" s="309"/>
      <c r="I17" s="309"/>
      <c r="J17" s="309"/>
      <c r="K17" s="309"/>
      <c r="L17" s="309"/>
      <c r="M17" s="309"/>
      <c r="N17" s="309"/>
      <c r="O17" s="156" t="s">
        <v>1</v>
      </c>
      <c r="P17" s="282"/>
      <c r="Q17" s="156" t="s">
        <v>24</v>
      </c>
      <c r="R17" s="151">
        <f t="shared" si="1"/>
        <v>73</v>
      </c>
      <c r="S17" s="151">
        <v>9</v>
      </c>
      <c r="T17" s="191"/>
      <c r="U17" s="8"/>
      <c r="V17" s="8"/>
      <c r="W17" s="8"/>
    </row>
    <row r="18" spans="1:33" ht="15" customHeight="1">
      <c r="A18" s="123"/>
      <c r="B18" s="151" t="str">
        <f t="shared" si="0"/>
        <v>4A</v>
      </c>
      <c r="C18" s="272" t="s">
        <v>17</v>
      </c>
      <c r="D18" s="151" t="s">
        <v>0</v>
      </c>
      <c r="E18" s="165" t="s">
        <v>125</v>
      </c>
      <c r="F18" s="190" t="s">
        <v>187</v>
      </c>
      <c r="G18" s="309" t="s">
        <v>351</v>
      </c>
      <c r="H18" s="309"/>
      <c r="I18" s="309"/>
      <c r="J18" s="309"/>
      <c r="K18" s="309"/>
      <c r="L18" s="309"/>
      <c r="M18" s="309"/>
      <c r="N18" s="309"/>
      <c r="O18" s="156" t="s">
        <v>345</v>
      </c>
      <c r="P18" s="282"/>
      <c r="Q18" s="156" t="s">
        <v>24</v>
      </c>
      <c r="R18" s="151">
        <f t="shared" si="1"/>
        <v>74</v>
      </c>
      <c r="S18" s="151">
        <v>10</v>
      </c>
      <c r="T18" s="191"/>
      <c r="U18" s="8"/>
      <c r="V18" s="8"/>
      <c r="W18" s="8"/>
    </row>
    <row r="19" spans="1:33" ht="15" customHeight="1">
      <c r="A19" s="123"/>
      <c r="B19" s="151" t="str">
        <f t="shared" si="0"/>
        <v>4B</v>
      </c>
      <c r="C19" s="272" t="s">
        <v>18</v>
      </c>
      <c r="D19" s="151" t="s">
        <v>0</v>
      </c>
      <c r="E19" s="165" t="s">
        <v>125</v>
      </c>
      <c r="F19" s="190" t="s">
        <v>187</v>
      </c>
      <c r="G19" s="309" t="s">
        <v>352</v>
      </c>
      <c r="H19" s="309"/>
      <c r="I19" s="309"/>
      <c r="J19" s="309"/>
      <c r="K19" s="309"/>
      <c r="L19" s="309"/>
      <c r="M19" s="309"/>
      <c r="N19" s="309"/>
      <c r="O19" s="156" t="s">
        <v>1</v>
      </c>
      <c r="P19" s="282"/>
      <c r="Q19" s="156" t="s">
        <v>24</v>
      </c>
      <c r="R19" s="151">
        <f t="shared" si="1"/>
        <v>75</v>
      </c>
      <c r="S19" s="151">
        <v>11</v>
      </c>
      <c r="T19" s="191"/>
      <c r="U19" s="8"/>
      <c r="V19" s="8"/>
      <c r="W19" s="8"/>
    </row>
    <row r="20" spans="1:33" ht="15" customHeight="1">
      <c r="A20" s="123"/>
      <c r="B20" s="151" t="str">
        <f t="shared" si="0"/>
        <v>4C</v>
      </c>
      <c r="C20" s="272" t="s">
        <v>19</v>
      </c>
      <c r="D20" s="151" t="s">
        <v>0</v>
      </c>
      <c r="E20" s="165" t="s">
        <v>125</v>
      </c>
      <c r="F20" s="190" t="s">
        <v>187</v>
      </c>
      <c r="G20" s="309" t="s">
        <v>721</v>
      </c>
      <c r="H20" s="309"/>
      <c r="I20" s="309"/>
      <c r="J20" s="309"/>
      <c r="K20" s="309"/>
      <c r="L20" s="309"/>
      <c r="M20" s="309"/>
      <c r="N20" s="309"/>
      <c r="O20" s="156" t="s">
        <v>1</v>
      </c>
      <c r="P20" s="282"/>
      <c r="Q20" s="156" t="s">
        <v>24</v>
      </c>
      <c r="R20" s="151">
        <f t="shared" si="1"/>
        <v>76</v>
      </c>
      <c r="S20" s="151">
        <v>12</v>
      </c>
      <c r="T20" s="191"/>
      <c r="U20" s="8"/>
      <c r="V20" s="8"/>
      <c r="W20" s="8"/>
    </row>
    <row r="21" spans="1:33" ht="15" customHeight="1">
      <c r="A21" s="123"/>
      <c r="B21" s="151" t="str">
        <f t="shared" si="0"/>
        <v>4D</v>
      </c>
      <c r="C21" s="272" t="s">
        <v>20</v>
      </c>
      <c r="D21" s="162" t="s">
        <v>0</v>
      </c>
      <c r="E21" s="165" t="s">
        <v>125</v>
      </c>
      <c r="F21" s="190" t="s">
        <v>187</v>
      </c>
      <c r="G21" s="309" t="s">
        <v>353</v>
      </c>
      <c r="H21" s="309"/>
      <c r="I21" s="309"/>
      <c r="J21" s="309"/>
      <c r="K21" s="309"/>
      <c r="L21" s="309"/>
      <c r="M21" s="309"/>
      <c r="N21" s="309"/>
      <c r="O21" s="156" t="s">
        <v>1</v>
      </c>
      <c r="P21" s="282"/>
      <c r="Q21" s="156" t="s">
        <v>24</v>
      </c>
      <c r="R21" s="151">
        <f t="shared" si="1"/>
        <v>77</v>
      </c>
      <c r="S21" s="151">
        <v>13</v>
      </c>
      <c r="T21" s="191"/>
      <c r="U21" s="8"/>
      <c r="V21" s="8"/>
      <c r="W21" s="8"/>
    </row>
    <row r="22" spans="1:33" ht="15" customHeight="1">
      <c r="A22" s="123"/>
      <c r="B22" s="151" t="str">
        <f t="shared" si="0"/>
        <v>4E</v>
      </c>
      <c r="C22" s="272" t="s">
        <v>21</v>
      </c>
      <c r="D22" s="156" t="s">
        <v>0</v>
      </c>
      <c r="E22" s="165" t="s">
        <v>125</v>
      </c>
      <c r="F22" s="190" t="s">
        <v>187</v>
      </c>
      <c r="G22" s="309" t="s">
        <v>354</v>
      </c>
      <c r="H22" s="309"/>
      <c r="I22" s="309"/>
      <c r="J22" s="309"/>
      <c r="K22" s="309"/>
      <c r="L22" s="309"/>
      <c r="M22" s="309"/>
      <c r="N22" s="309"/>
      <c r="O22" s="156" t="s">
        <v>1</v>
      </c>
      <c r="P22" s="282"/>
      <c r="Q22" s="156" t="s">
        <v>24</v>
      </c>
      <c r="R22" s="151">
        <f t="shared" si="1"/>
        <v>78</v>
      </c>
      <c r="S22" s="151">
        <v>14</v>
      </c>
      <c r="T22" s="191"/>
      <c r="U22" s="8"/>
      <c r="V22" s="8"/>
      <c r="W22" s="8"/>
    </row>
    <row r="23" spans="1:33" ht="15" customHeight="1">
      <c r="A23" s="123"/>
      <c r="B23" s="151" t="str">
        <f t="shared" si="0"/>
        <v>4F</v>
      </c>
      <c r="C23" s="272" t="s">
        <v>22</v>
      </c>
      <c r="D23" s="151" t="s">
        <v>0</v>
      </c>
      <c r="E23" s="165" t="s">
        <v>125</v>
      </c>
      <c r="F23" s="190" t="s">
        <v>187</v>
      </c>
      <c r="G23" s="309" t="s">
        <v>722</v>
      </c>
      <c r="H23" s="309"/>
      <c r="I23" s="309"/>
      <c r="J23" s="309"/>
      <c r="K23" s="309"/>
      <c r="L23" s="309"/>
      <c r="M23" s="309"/>
      <c r="N23" s="309"/>
      <c r="O23" s="156" t="s">
        <v>1</v>
      </c>
      <c r="P23" s="282"/>
      <c r="Q23" s="156" t="s">
        <v>24</v>
      </c>
      <c r="R23" s="151">
        <f t="shared" si="1"/>
        <v>79</v>
      </c>
      <c r="S23" s="151">
        <v>15</v>
      </c>
      <c r="T23" s="191"/>
      <c r="U23" s="8"/>
      <c r="V23" s="8"/>
      <c r="W23" s="8"/>
    </row>
    <row r="24" spans="1:33" ht="15" customHeight="1">
      <c r="A24" s="123"/>
      <c r="B24" s="151" t="str">
        <f t="shared" si="0"/>
        <v>50</v>
      </c>
      <c r="C24" s="272" t="s">
        <v>355</v>
      </c>
      <c r="D24" s="151" t="s">
        <v>0</v>
      </c>
      <c r="E24" s="165" t="s">
        <v>125</v>
      </c>
      <c r="F24" s="190" t="s">
        <v>187</v>
      </c>
      <c r="G24" s="309" t="s">
        <v>356</v>
      </c>
      <c r="H24" s="309"/>
      <c r="I24" s="309"/>
      <c r="J24" s="309"/>
      <c r="K24" s="309"/>
      <c r="L24" s="309"/>
      <c r="M24" s="309"/>
      <c r="N24" s="309"/>
      <c r="O24" s="156" t="s">
        <v>1</v>
      </c>
      <c r="P24" s="282"/>
      <c r="Q24" s="156" t="s">
        <v>24</v>
      </c>
      <c r="R24" s="151">
        <f t="shared" si="1"/>
        <v>80</v>
      </c>
      <c r="S24" s="151">
        <v>16</v>
      </c>
      <c r="T24" s="191"/>
      <c r="U24" s="8"/>
      <c r="V24" s="8"/>
      <c r="W24" s="8"/>
    </row>
    <row r="25" spans="1:33" ht="15" customHeight="1">
      <c r="A25" s="123"/>
      <c r="B25" s="151" t="str">
        <f t="shared" si="0"/>
        <v>51</v>
      </c>
      <c r="C25" s="272" t="s">
        <v>357</v>
      </c>
      <c r="D25" s="151" t="s">
        <v>0</v>
      </c>
      <c r="E25" s="165" t="s">
        <v>125</v>
      </c>
      <c r="F25" s="190" t="s">
        <v>187</v>
      </c>
      <c r="G25" s="309" t="s">
        <v>723</v>
      </c>
      <c r="H25" s="309"/>
      <c r="I25" s="309"/>
      <c r="J25" s="309"/>
      <c r="K25" s="309"/>
      <c r="L25" s="309"/>
      <c r="M25" s="309"/>
      <c r="N25" s="309"/>
      <c r="O25" s="156" t="s">
        <v>1</v>
      </c>
      <c r="P25" s="282"/>
      <c r="Q25" s="156" t="s">
        <v>24</v>
      </c>
      <c r="R25" s="151">
        <f t="shared" si="1"/>
        <v>81</v>
      </c>
      <c r="S25" s="151">
        <v>17</v>
      </c>
      <c r="T25" s="191"/>
      <c r="U25" s="8"/>
      <c r="V25" s="8"/>
      <c r="W25" s="8"/>
    </row>
    <row r="26" spans="1:33" ht="15" customHeight="1">
      <c r="A26" s="123"/>
      <c r="B26" s="151" t="str">
        <f t="shared" si="0"/>
        <v>52</v>
      </c>
      <c r="C26" s="272" t="s">
        <v>358</v>
      </c>
      <c r="D26" s="151" t="s">
        <v>0</v>
      </c>
      <c r="E26" s="165" t="s">
        <v>125</v>
      </c>
      <c r="F26" s="190" t="s">
        <v>187</v>
      </c>
      <c r="G26" s="309" t="s">
        <v>724</v>
      </c>
      <c r="H26" s="309"/>
      <c r="I26" s="309"/>
      <c r="J26" s="309"/>
      <c r="K26" s="309"/>
      <c r="L26" s="309"/>
      <c r="M26" s="309"/>
      <c r="N26" s="309"/>
      <c r="O26" s="156" t="s">
        <v>706</v>
      </c>
      <c r="P26" s="282"/>
      <c r="Q26" s="156" t="s">
        <v>24</v>
      </c>
      <c r="R26" s="151">
        <f t="shared" si="1"/>
        <v>82</v>
      </c>
      <c r="S26" s="151">
        <v>18</v>
      </c>
      <c r="T26" s="191"/>
      <c r="U26" s="8"/>
      <c r="V26" s="8"/>
      <c r="W26" s="8"/>
    </row>
    <row r="27" spans="1:33" ht="15" customHeight="1">
      <c r="A27" s="123"/>
      <c r="B27" s="151" t="str">
        <f t="shared" si="0"/>
        <v>53</v>
      </c>
      <c r="C27" s="272" t="s">
        <v>359</v>
      </c>
      <c r="D27" s="151" t="s">
        <v>0</v>
      </c>
      <c r="E27" s="165" t="s">
        <v>125</v>
      </c>
      <c r="F27" s="190" t="s">
        <v>187</v>
      </c>
      <c r="G27" s="309" t="s">
        <v>725</v>
      </c>
      <c r="H27" s="309"/>
      <c r="I27" s="309"/>
      <c r="J27" s="309"/>
      <c r="K27" s="309"/>
      <c r="L27" s="309"/>
      <c r="M27" s="309"/>
      <c r="N27" s="309"/>
      <c r="O27" s="156" t="s">
        <v>1</v>
      </c>
      <c r="P27" s="282"/>
      <c r="Q27" s="156" t="s">
        <v>24</v>
      </c>
      <c r="R27" s="151">
        <f t="shared" si="1"/>
        <v>83</v>
      </c>
      <c r="S27" s="151">
        <v>19</v>
      </c>
      <c r="T27" s="191"/>
      <c r="U27" s="8"/>
      <c r="V27" s="8"/>
      <c r="W27" s="8"/>
    </row>
    <row r="28" spans="1:33" ht="15" customHeight="1">
      <c r="A28" s="123"/>
      <c r="B28" s="151" t="str">
        <f t="shared" si="0"/>
        <v>54</v>
      </c>
      <c r="C28" s="272" t="s">
        <v>23</v>
      </c>
      <c r="D28" s="151" t="s">
        <v>0</v>
      </c>
      <c r="E28" s="165" t="s">
        <v>125</v>
      </c>
      <c r="F28" s="190" t="s">
        <v>187</v>
      </c>
      <c r="G28" s="309" t="s">
        <v>726</v>
      </c>
      <c r="H28" s="309"/>
      <c r="I28" s="309"/>
      <c r="J28" s="309"/>
      <c r="K28" s="309"/>
      <c r="L28" s="309"/>
      <c r="M28" s="309"/>
      <c r="N28" s="309"/>
      <c r="O28" s="156" t="s">
        <v>1</v>
      </c>
      <c r="P28" s="282"/>
      <c r="Q28" s="156" t="s">
        <v>24</v>
      </c>
      <c r="R28" s="151">
        <f t="shared" si="1"/>
        <v>84</v>
      </c>
      <c r="S28" s="151">
        <v>20</v>
      </c>
      <c r="T28" s="191"/>
      <c r="U28" s="8"/>
      <c r="V28" s="8"/>
      <c r="W28" s="8"/>
    </row>
    <row r="29" spans="1:33" ht="15" customHeight="1">
      <c r="A29" s="148"/>
      <c r="B29" s="151" t="str">
        <f t="shared" si="0"/>
        <v>55</v>
      </c>
      <c r="C29" s="146" t="s">
        <v>360</v>
      </c>
      <c r="D29" s="151" t="s">
        <v>0</v>
      </c>
      <c r="E29" s="165" t="s">
        <v>125</v>
      </c>
      <c r="F29" s="190" t="s">
        <v>187</v>
      </c>
      <c r="G29" s="193"/>
      <c r="H29" s="193"/>
      <c r="I29" s="193"/>
      <c r="J29" s="193"/>
      <c r="K29" s="193"/>
      <c r="L29" s="193"/>
      <c r="M29" s="193"/>
      <c r="N29" s="194" t="s">
        <v>361</v>
      </c>
      <c r="O29" s="156" t="s">
        <v>1</v>
      </c>
      <c r="P29" s="282"/>
      <c r="Q29" s="156" t="s">
        <v>24</v>
      </c>
      <c r="R29" s="151">
        <f t="shared" si="1"/>
        <v>85</v>
      </c>
      <c r="S29" s="151">
        <v>21</v>
      </c>
      <c r="T29" s="191"/>
      <c r="U29" s="133"/>
      <c r="V29" s="8"/>
      <c r="W29" s="8"/>
    </row>
    <row r="30" spans="1:33" ht="15" customHeight="1">
      <c r="A30" s="148"/>
      <c r="B30" s="151" t="str">
        <f t="shared" si="0"/>
        <v>56</v>
      </c>
      <c r="C30" s="146" t="s">
        <v>362</v>
      </c>
      <c r="D30" s="151" t="s">
        <v>0</v>
      </c>
      <c r="E30" s="165" t="s">
        <v>125</v>
      </c>
      <c r="F30" s="190" t="s">
        <v>187</v>
      </c>
      <c r="G30" s="309" t="s">
        <v>363</v>
      </c>
      <c r="H30" s="309"/>
      <c r="I30" s="309"/>
      <c r="J30" s="309"/>
      <c r="K30" s="309"/>
      <c r="L30" s="309"/>
      <c r="M30" s="309"/>
      <c r="N30" s="309"/>
      <c r="O30" s="156" t="s">
        <v>364</v>
      </c>
      <c r="P30" s="282"/>
      <c r="Q30" s="156" t="s">
        <v>24</v>
      </c>
      <c r="R30" s="151">
        <f t="shared" si="1"/>
        <v>86</v>
      </c>
      <c r="S30" s="151">
        <v>22</v>
      </c>
      <c r="T30" s="191"/>
      <c r="U30" s="8"/>
      <c r="V30" s="8"/>
      <c r="W30" s="8"/>
    </row>
    <row r="31" spans="1:33" ht="15" customHeight="1">
      <c r="A31" s="148"/>
      <c r="B31" s="151" t="str">
        <f t="shared" si="0"/>
        <v>57</v>
      </c>
      <c r="C31" s="146" t="s">
        <v>362</v>
      </c>
      <c r="D31" s="151" t="s">
        <v>0</v>
      </c>
      <c r="E31" s="165" t="s">
        <v>125</v>
      </c>
      <c r="F31" s="190" t="s">
        <v>187</v>
      </c>
      <c r="G31" s="309" t="s">
        <v>365</v>
      </c>
      <c r="H31" s="309"/>
      <c r="I31" s="309"/>
      <c r="J31" s="309"/>
      <c r="K31" s="309"/>
      <c r="L31" s="309"/>
      <c r="M31" s="309"/>
      <c r="N31" s="309"/>
      <c r="O31" s="156" t="s">
        <v>1</v>
      </c>
      <c r="P31" s="282"/>
      <c r="Q31" s="156" t="s">
        <v>24</v>
      </c>
      <c r="R31" s="151">
        <f t="shared" si="1"/>
        <v>87</v>
      </c>
      <c r="S31" s="151">
        <v>23</v>
      </c>
      <c r="T31" s="191"/>
      <c r="U31" s="8"/>
      <c r="V31" s="8"/>
      <c r="W31" s="8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5" customHeight="1">
      <c r="A32" s="148"/>
      <c r="B32" s="151" t="str">
        <f t="shared" si="0"/>
        <v>58</v>
      </c>
      <c r="C32" s="146" t="s">
        <v>366</v>
      </c>
      <c r="D32" s="151" t="s">
        <v>0</v>
      </c>
      <c r="E32" s="165" t="s">
        <v>125</v>
      </c>
      <c r="F32" s="190" t="s">
        <v>187</v>
      </c>
      <c r="G32" s="309" t="s">
        <v>367</v>
      </c>
      <c r="H32" s="309"/>
      <c r="I32" s="309"/>
      <c r="J32" s="309"/>
      <c r="K32" s="309"/>
      <c r="L32" s="309"/>
      <c r="M32" s="309"/>
      <c r="N32" s="309"/>
      <c r="O32" s="156" t="s">
        <v>345</v>
      </c>
      <c r="P32" s="282"/>
      <c r="Q32" s="156" t="s">
        <v>24</v>
      </c>
      <c r="R32" s="151">
        <f t="shared" si="1"/>
        <v>88</v>
      </c>
      <c r="S32" s="151">
        <v>24</v>
      </c>
      <c r="T32" s="191"/>
      <c r="U32" s="8"/>
      <c r="V32" s="8"/>
      <c r="W32" s="8"/>
    </row>
    <row r="33" spans="1:33" ht="15" customHeight="1">
      <c r="A33" s="148"/>
      <c r="B33" s="151" t="str">
        <f t="shared" si="0"/>
        <v>59</v>
      </c>
      <c r="C33" s="146" t="s">
        <v>366</v>
      </c>
      <c r="D33" s="151" t="s">
        <v>0</v>
      </c>
      <c r="E33" s="165" t="s">
        <v>125</v>
      </c>
      <c r="F33" s="190" t="s">
        <v>187</v>
      </c>
      <c r="G33" s="309" t="s">
        <v>368</v>
      </c>
      <c r="H33" s="309"/>
      <c r="I33" s="309"/>
      <c r="J33" s="309"/>
      <c r="K33" s="309"/>
      <c r="L33" s="309"/>
      <c r="M33" s="309"/>
      <c r="N33" s="309"/>
      <c r="O33" s="156" t="s">
        <v>1</v>
      </c>
      <c r="P33" s="282"/>
      <c r="Q33" s="156" t="s">
        <v>24</v>
      </c>
      <c r="R33" s="151">
        <f t="shared" si="1"/>
        <v>89</v>
      </c>
      <c r="S33" s="151">
        <v>25</v>
      </c>
      <c r="T33" s="191"/>
      <c r="U33" s="8"/>
      <c r="V33" s="8"/>
      <c r="W33" s="8"/>
    </row>
    <row r="34" spans="1:33" ht="15" customHeight="1">
      <c r="A34" s="148"/>
      <c r="B34" s="151" t="str">
        <f t="shared" si="0"/>
        <v>5A</v>
      </c>
      <c r="C34" s="146" t="s">
        <v>369</v>
      </c>
      <c r="D34" s="151" t="s">
        <v>0</v>
      </c>
      <c r="E34" s="165" t="s">
        <v>125</v>
      </c>
      <c r="F34" s="190" t="s">
        <v>187</v>
      </c>
      <c r="G34" s="309" t="s">
        <v>370</v>
      </c>
      <c r="H34" s="309"/>
      <c r="I34" s="309"/>
      <c r="J34" s="309"/>
      <c r="K34" s="309"/>
      <c r="L34" s="309"/>
      <c r="M34" s="309"/>
      <c r="N34" s="309"/>
      <c r="O34" s="156" t="s">
        <v>371</v>
      </c>
      <c r="P34" s="282"/>
      <c r="Q34" s="156" t="s">
        <v>24</v>
      </c>
      <c r="R34" s="151">
        <f t="shared" si="1"/>
        <v>90</v>
      </c>
      <c r="S34" s="151">
        <v>26</v>
      </c>
      <c r="T34" s="191"/>
      <c r="U34" s="8"/>
      <c r="V34" s="8"/>
      <c r="W34" s="8"/>
    </row>
    <row r="35" spans="1:33" ht="15" customHeight="1">
      <c r="A35" s="148"/>
      <c r="B35" s="151" t="str">
        <f t="shared" si="0"/>
        <v>5B</v>
      </c>
      <c r="C35" s="146" t="s">
        <v>369</v>
      </c>
      <c r="D35" s="151" t="s">
        <v>0</v>
      </c>
      <c r="E35" s="165" t="s">
        <v>125</v>
      </c>
      <c r="F35" s="190" t="s">
        <v>187</v>
      </c>
      <c r="G35" s="309" t="s">
        <v>372</v>
      </c>
      <c r="H35" s="309"/>
      <c r="I35" s="309"/>
      <c r="J35" s="309"/>
      <c r="K35" s="309"/>
      <c r="L35" s="309"/>
      <c r="M35" s="309"/>
      <c r="N35" s="309"/>
      <c r="O35" s="156" t="s">
        <v>1</v>
      </c>
      <c r="P35" s="282"/>
      <c r="Q35" s="156" t="s">
        <v>24</v>
      </c>
      <c r="R35" s="151">
        <f t="shared" si="1"/>
        <v>91</v>
      </c>
      <c r="S35" s="151">
        <v>27</v>
      </c>
      <c r="T35" s="191"/>
      <c r="U35" s="8"/>
      <c r="V35" s="8"/>
      <c r="W35" s="8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ht="15" customHeight="1">
      <c r="A36" s="148"/>
      <c r="B36" s="151" t="str">
        <f t="shared" si="0"/>
        <v>5C</v>
      </c>
      <c r="C36" s="146" t="s">
        <v>373</v>
      </c>
      <c r="D36" s="162" t="s">
        <v>0</v>
      </c>
      <c r="E36" s="165" t="s">
        <v>125</v>
      </c>
      <c r="F36" s="190" t="s">
        <v>187</v>
      </c>
      <c r="G36" s="309" t="s">
        <v>374</v>
      </c>
      <c r="H36" s="309"/>
      <c r="I36" s="309"/>
      <c r="J36" s="309"/>
      <c r="K36" s="309"/>
      <c r="L36" s="309"/>
      <c r="M36" s="309"/>
      <c r="N36" s="309"/>
      <c r="O36" s="156" t="s">
        <v>349</v>
      </c>
      <c r="P36" s="282"/>
      <c r="Q36" s="156" t="s">
        <v>24</v>
      </c>
      <c r="R36" s="151">
        <f t="shared" si="1"/>
        <v>92</v>
      </c>
      <c r="S36" s="151">
        <v>28</v>
      </c>
      <c r="T36" s="191"/>
      <c r="U36" s="8"/>
      <c r="V36" s="8"/>
      <c r="W36" s="8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ht="15" customHeight="1">
      <c r="A37" s="148"/>
      <c r="B37" s="151" t="str">
        <f t="shared" si="0"/>
        <v>5D</v>
      </c>
      <c r="C37" s="146" t="s">
        <v>373</v>
      </c>
      <c r="D37" s="156" t="s">
        <v>0</v>
      </c>
      <c r="E37" s="165" t="s">
        <v>125</v>
      </c>
      <c r="F37" s="190" t="s">
        <v>187</v>
      </c>
      <c r="G37" s="309" t="s">
        <v>375</v>
      </c>
      <c r="H37" s="309"/>
      <c r="I37" s="309"/>
      <c r="J37" s="309"/>
      <c r="K37" s="309"/>
      <c r="L37" s="309"/>
      <c r="M37" s="309"/>
      <c r="N37" s="309"/>
      <c r="O37" s="156" t="s">
        <v>1</v>
      </c>
      <c r="P37" s="282"/>
      <c r="Q37" s="156" t="s">
        <v>24</v>
      </c>
      <c r="R37" s="151">
        <f t="shared" si="1"/>
        <v>93</v>
      </c>
      <c r="S37" s="151">
        <v>29</v>
      </c>
      <c r="T37" s="191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1:33" ht="15" customHeight="1">
      <c r="A38" s="148"/>
      <c r="B38" s="151" t="str">
        <f t="shared" si="0"/>
        <v>5E</v>
      </c>
      <c r="C38" s="146" t="s">
        <v>376</v>
      </c>
      <c r="D38" s="151" t="s">
        <v>0</v>
      </c>
      <c r="E38" s="165" t="s">
        <v>125</v>
      </c>
      <c r="F38" s="190" t="s">
        <v>187</v>
      </c>
      <c r="G38" s="309" t="s">
        <v>377</v>
      </c>
      <c r="H38" s="309"/>
      <c r="I38" s="309"/>
      <c r="J38" s="309"/>
      <c r="K38" s="309"/>
      <c r="L38" s="309"/>
      <c r="M38" s="309"/>
      <c r="N38" s="309"/>
      <c r="O38" s="156" t="s">
        <v>378</v>
      </c>
      <c r="P38" s="282"/>
      <c r="Q38" s="156" t="s">
        <v>24</v>
      </c>
      <c r="R38" s="151">
        <f t="shared" si="1"/>
        <v>94</v>
      </c>
      <c r="S38" s="151">
        <v>30</v>
      </c>
      <c r="T38" s="191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1:33" ht="15" customHeight="1">
      <c r="A39" s="148"/>
      <c r="B39" s="151" t="str">
        <f t="shared" si="0"/>
        <v>5F</v>
      </c>
      <c r="C39" s="146" t="s">
        <v>376</v>
      </c>
      <c r="D39" s="151" t="s">
        <v>0</v>
      </c>
      <c r="E39" s="165" t="s">
        <v>125</v>
      </c>
      <c r="F39" s="190" t="s">
        <v>187</v>
      </c>
      <c r="G39" s="309" t="s">
        <v>379</v>
      </c>
      <c r="H39" s="309"/>
      <c r="I39" s="309"/>
      <c r="J39" s="309"/>
      <c r="K39" s="309"/>
      <c r="L39" s="309"/>
      <c r="M39" s="309"/>
      <c r="N39" s="309"/>
      <c r="O39" s="156" t="s">
        <v>1</v>
      </c>
      <c r="P39" s="282"/>
      <c r="Q39" s="156" t="s">
        <v>24</v>
      </c>
      <c r="R39" s="151">
        <f t="shared" si="1"/>
        <v>95</v>
      </c>
      <c r="S39" s="151">
        <v>31</v>
      </c>
      <c r="T39" s="191"/>
      <c r="U39" s="8"/>
      <c r="V39" s="8"/>
      <c r="W39" s="8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 ht="15" customHeight="1">
      <c r="A40" s="148"/>
      <c r="B40" s="151" t="str">
        <f t="shared" si="0"/>
        <v>60</v>
      </c>
      <c r="C40" s="146" t="s">
        <v>380</v>
      </c>
      <c r="D40" s="151" t="s">
        <v>0</v>
      </c>
      <c r="E40" s="165" t="s">
        <v>125</v>
      </c>
      <c r="F40" s="190" t="s">
        <v>187</v>
      </c>
      <c r="G40" s="309" t="s">
        <v>381</v>
      </c>
      <c r="H40" s="309"/>
      <c r="I40" s="309"/>
      <c r="J40" s="309"/>
      <c r="K40" s="309"/>
      <c r="L40" s="309"/>
      <c r="M40" s="309"/>
      <c r="N40" s="309"/>
      <c r="O40" s="156" t="s">
        <v>382</v>
      </c>
      <c r="P40" s="282"/>
      <c r="Q40" s="156" t="s">
        <v>24</v>
      </c>
      <c r="R40" s="151">
        <f t="shared" si="1"/>
        <v>96</v>
      </c>
      <c r="S40" s="151">
        <v>32</v>
      </c>
      <c r="T40" s="191"/>
      <c r="U40" s="8"/>
      <c r="V40" s="8"/>
      <c r="W40" s="8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ht="15" customHeight="1">
      <c r="A41" s="148"/>
      <c r="B41" s="151" t="str">
        <f t="shared" si="0"/>
        <v>61</v>
      </c>
      <c r="C41" s="146" t="s">
        <v>380</v>
      </c>
      <c r="D41" s="151" t="s">
        <v>0</v>
      </c>
      <c r="E41" s="165" t="s">
        <v>125</v>
      </c>
      <c r="F41" s="190" t="s">
        <v>187</v>
      </c>
      <c r="G41" s="309" t="s">
        <v>383</v>
      </c>
      <c r="H41" s="309"/>
      <c r="I41" s="309"/>
      <c r="J41" s="309"/>
      <c r="K41" s="309"/>
      <c r="L41" s="309"/>
      <c r="M41" s="309"/>
      <c r="N41" s="309"/>
      <c r="O41" s="156" t="s">
        <v>1</v>
      </c>
      <c r="P41" s="282"/>
      <c r="Q41" s="156" t="s">
        <v>24</v>
      </c>
      <c r="R41" s="151">
        <f t="shared" si="1"/>
        <v>97</v>
      </c>
      <c r="S41" s="151">
        <v>33</v>
      </c>
      <c r="T41" s="191"/>
      <c r="U41" s="8"/>
      <c r="V41" s="8"/>
      <c r="W41" s="8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ht="15" customHeight="1">
      <c r="A42" s="148"/>
      <c r="B42" s="151" t="str">
        <f t="shared" si="0"/>
        <v>62</v>
      </c>
      <c r="C42" s="146" t="s">
        <v>384</v>
      </c>
      <c r="D42" s="151" t="s">
        <v>0</v>
      </c>
      <c r="E42" s="165" t="s">
        <v>125</v>
      </c>
      <c r="F42" s="190" t="s">
        <v>187</v>
      </c>
      <c r="G42" s="309" t="s">
        <v>385</v>
      </c>
      <c r="H42" s="309"/>
      <c r="I42" s="309"/>
      <c r="J42" s="309"/>
      <c r="K42" s="309"/>
      <c r="L42" s="309"/>
      <c r="M42" s="309"/>
      <c r="N42" s="309"/>
      <c r="O42" s="156" t="s">
        <v>386</v>
      </c>
      <c r="P42" s="282"/>
      <c r="Q42" s="156" t="s">
        <v>24</v>
      </c>
      <c r="R42" s="151">
        <f t="shared" si="1"/>
        <v>98</v>
      </c>
      <c r="S42" s="151">
        <v>34</v>
      </c>
      <c r="T42" s="191"/>
      <c r="U42" s="8"/>
      <c r="V42" s="8"/>
      <c r="W42" s="8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3" ht="15" customHeight="1">
      <c r="A43" s="148"/>
      <c r="B43" s="151" t="str">
        <f t="shared" si="0"/>
        <v>63</v>
      </c>
      <c r="C43" s="146" t="s">
        <v>384</v>
      </c>
      <c r="D43" s="151" t="s">
        <v>0</v>
      </c>
      <c r="E43" s="165" t="s">
        <v>125</v>
      </c>
      <c r="F43" s="190" t="s">
        <v>187</v>
      </c>
      <c r="G43" s="309" t="s">
        <v>387</v>
      </c>
      <c r="H43" s="309"/>
      <c r="I43" s="309"/>
      <c r="J43" s="309"/>
      <c r="K43" s="309"/>
      <c r="L43" s="309"/>
      <c r="M43" s="309"/>
      <c r="N43" s="309"/>
      <c r="O43" s="156" t="s">
        <v>1</v>
      </c>
      <c r="P43" s="282"/>
      <c r="Q43" s="156" t="s">
        <v>24</v>
      </c>
      <c r="R43" s="151">
        <f t="shared" si="1"/>
        <v>99</v>
      </c>
      <c r="S43" s="151">
        <v>35</v>
      </c>
      <c r="T43" s="191"/>
      <c r="U43" s="8"/>
      <c r="V43" s="8"/>
      <c r="W43" s="8"/>
    </row>
    <row r="44" spans="1:33" ht="15" customHeight="1">
      <c r="A44" s="148"/>
      <c r="B44" s="151" t="str">
        <f t="shared" si="0"/>
        <v>64</v>
      </c>
      <c r="C44" s="146" t="s">
        <v>388</v>
      </c>
      <c r="D44" s="151" t="s">
        <v>0</v>
      </c>
      <c r="E44" s="165" t="s">
        <v>125</v>
      </c>
      <c r="F44" s="190" t="s">
        <v>187</v>
      </c>
      <c r="G44" s="309" t="s">
        <v>389</v>
      </c>
      <c r="H44" s="309"/>
      <c r="I44" s="309"/>
      <c r="J44" s="309"/>
      <c r="K44" s="309"/>
      <c r="L44" s="309"/>
      <c r="M44" s="309"/>
      <c r="N44" s="309"/>
      <c r="O44" s="156" t="s">
        <v>390</v>
      </c>
      <c r="P44" s="282"/>
      <c r="Q44" s="156" t="s">
        <v>24</v>
      </c>
      <c r="R44" s="151">
        <f t="shared" si="1"/>
        <v>100</v>
      </c>
      <c r="S44" s="151">
        <v>36</v>
      </c>
      <c r="T44" s="191"/>
      <c r="U44" s="8"/>
      <c r="V44" s="8"/>
      <c r="W44" s="8"/>
    </row>
    <row r="45" spans="1:33" ht="15" customHeight="1">
      <c r="A45" s="148"/>
      <c r="B45" s="151" t="str">
        <f t="shared" si="0"/>
        <v>65</v>
      </c>
      <c r="C45" s="146" t="s">
        <v>388</v>
      </c>
      <c r="D45" s="151" t="s">
        <v>0</v>
      </c>
      <c r="E45" s="165" t="s">
        <v>125</v>
      </c>
      <c r="F45" s="190" t="s">
        <v>187</v>
      </c>
      <c r="G45" s="309" t="s">
        <v>391</v>
      </c>
      <c r="H45" s="309"/>
      <c r="I45" s="309"/>
      <c r="J45" s="309"/>
      <c r="K45" s="309"/>
      <c r="L45" s="309"/>
      <c r="M45" s="309"/>
      <c r="N45" s="309"/>
      <c r="O45" s="156" t="s">
        <v>1</v>
      </c>
      <c r="P45" s="282"/>
      <c r="Q45" s="156" t="s">
        <v>24</v>
      </c>
      <c r="R45" s="151">
        <f t="shared" si="1"/>
        <v>101</v>
      </c>
      <c r="S45" s="151">
        <v>37</v>
      </c>
      <c r="T45" s="191"/>
    </row>
    <row r="46" spans="1:33" ht="15" customHeight="1">
      <c r="A46" s="148"/>
      <c r="B46" s="176" t="str">
        <f t="shared" si="0"/>
        <v>66</v>
      </c>
      <c r="C46" s="146" t="s">
        <v>392</v>
      </c>
      <c r="D46" s="151" t="s">
        <v>0</v>
      </c>
      <c r="E46" s="165" t="s">
        <v>125</v>
      </c>
      <c r="F46" s="190" t="s">
        <v>187</v>
      </c>
      <c r="G46" s="309" t="s">
        <v>393</v>
      </c>
      <c r="H46" s="309"/>
      <c r="I46" s="309"/>
      <c r="J46" s="309"/>
      <c r="K46" s="309"/>
      <c r="L46" s="309"/>
      <c r="M46" s="309"/>
      <c r="N46" s="309"/>
      <c r="O46" s="156" t="s">
        <v>394</v>
      </c>
      <c r="P46" s="282"/>
      <c r="Q46" s="156" t="s">
        <v>24</v>
      </c>
      <c r="R46" s="151">
        <f t="shared" si="1"/>
        <v>102</v>
      </c>
      <c r="S46" s="151">
        <v>38</v>
      </c>
      <c r="T46" s="191"/>
    </row>
    <row r="47" spans="1:33" ht="15" customHeight="1">
      <c r="A47" s="148"/>
      <c r="B47" s="176" t="str">
        <f t="shared" si="0"/>
        <v>67</v>
      </c>
      <c r="C47" s="146" t="s">
        <v>392</v>
      </c>
      <c r="D47" s="151" t="s">
        <v>0</v>
      </c>
      <c r="E47" s="165" t="s">
        <v>125</v>
      </c>
      <c r="F47" s="190" t="s">
        <v>187</v>
      </c>
      <c r="G47" s="309" t="s">
        <v>395</v>
      </c>
      <c r="H47" s="309"/>
      <c r="I47" s="309"/>
      <c r="J47" s="309"/>
      <c r="K47" s="309"/>
      <c r="L47" s="309"/>
      <c r="M47" s="309"/>
      <c r="N47" s="309"/>
      <c r="O47" s="156" t="s">
        <v>1</v>
      </c>
      <c r="P47" s="282"/>
      <c r="Q47" s="156" t="s">
        <v>24</v>
      </c>
      <c r="R47" s="151">
        <f t="shared" si="1"/>
        <v>103</v>
      </c>
      <c r="S47" s="151">
        <v>39</v>
      </c>
      <c r="T47" s="191"/>
    </row>
    <row r="48" spans="1:33" ht="15" customHeight="1">
      <c r="A48" s="148"/>
      <c r="B48" s="176" t="str">
        <f t="shared" si="0"/>
        <v>68</v>
      </c>
      <c r="C48" s="146" t="s">
        <v>396</v>
      </c>
      <c r="D48" s="151" t="s">
        <v>0</v>
      </c>
      <c r="E48" s="165" t="s">
        <v>125</v>
      </c>
      <c r="F48" s="190" t="s">
        <v>187</v>
      </c>
      <c r="G48" s="309" t="s">
        <v>397</v>
      </c>
      <c r="H48" s="309"/>
      <c r="I48" s="309"/>
      <c r="J48" s="309"/>
      <c r="K48" s="309"/>
      <c r="L48" s="309"/>
      <c r="M48" s="309"/>
      <c r="N48" s="309"/>
      <c r="O48" s="156" t="s">
        <v>398</v>
      </c>
      <c r="P48" s="282"/>
      <c r="Q48" s="156" t="s">
        <v>24</v>
      </c>
      <c r="R48" s="151">
        <f t="shared" si="1"/>
        <v>104</v>
      </c>
      <c r="S48" s="151">
        <v>40</v>
      </c>
      <c r="T48" s="191"/>
    </row>
    <row r="49" spans="1:28" ht="15" customHeight="1">
      <c r="A49" s="148"/>
      <c r="B49" s="176" t="str">
        <f t="shared" si="0"/>
        <v>69</v>
      </c>
      <c r="C49" s="192" t="s">
        <v>396</v>
      </c>
      <c r="D49" s="156" t="s">
        <v>0</v>
      </c>
      <c r="E49" s="165" t="s">
        <v>125</v>
      </c>
      <c r="F49" s="190" t="s">
        <v>187</v>
      </c>
      <c r="G49" s="309" t="s">
        <v>399</v>
      </c>
      <c r="H49" s="309"/>
      <c r="I49" s="309"/>
      <c r="J49" s="309"/>
      <c r="K49" s="309"/>
      <c r="L49" s="309"/>
      <c r="M49" s="309"/>
      <c r="N49" s="309"/>
      <c r="O49" s="156" t="s">
        <v>1</v>
      </c>
      <c r="P49" s="282"/>
      <c r="Q49" s="156" t="s">
        <v>24</v>
      </c>
      <c r="R49" s="151">
        <f t="shared" si="1"/>
        <v>105</v>
      </c>
      <c r="S49" s="151">
        <v>41</v>
      </c>
      <c r="T49" s="191"/>
      <c r="U49" s="8"/>
      <c r="V49" s="8"/>
      <c r="W49" s="8"/>
    </row>
    <row r="50" spans="1:28" ht="15" customHeight="1">
      <c r="A50" s="148"/>
      <c r="B50" s="176" t="str">
        <f t="shared" si="0"/>
        <v>6A</v>
      </c>
      <c r="C50" s="192" t="s">
        <v>400</v>
      </c>
      <c r="D50" s="156" t="s">
        <v>0</v>
      </c>
      <c r="E50" s="165" t="s">
        <v>125</v>
      </c>
      <c r="F50" s="190" t="s">
        <v>187</v>
      </c>
      <c r="G50" s="309" t="s">
        <v>401</v>
      </c>
      <c r="H50" s="309"/>
      <c r="I50" s="309"/>
      <c r="J50" s="309"/>
      <c r="K50" s="309"/>
      <c r="L50" s="309"/>
      <c r="M50" s="309"/>
      <c r="N50" s="309"/>
      <c r="O50" s="156" t="s">
        <v>402</v>
      </c>
      <c r="P50" s="282"/>
      <c r="Q50" s="156" t="s">
        <v>24</v>
      </c>
      <c r="R50" s="151">
        <f t="shared" si="1"/>
        <v>106</v>
      </c>
      <c r="S50" s="151">
        <v>42</v>
      </c>
      <c r="T50" s="191"/>
      <c r="U50" s="8"/>
      <c r="V50" s="8"/>
      <c r="W50" s="8"/>
    </row>
    <row r="51" spans="1:28" ht="15" customHeight="1">
      <c r="A51" s="148"/>
      <c r="B51" s="195" t="str">
        <f t="shared" si="0"/>
        <v>6B</v>
      </c>
      <c r="C51" s="192" t="s">
        <v>400</v>
      </c>
      <c r="D51" s="162" t="s">
        <v>0</v>
      </c>
      <c r="E51" s="165" t="s">
        <v>125</v>
      </c>
      <c r="F51" s="190" t="s">
        <v>187</v>
      </c>
      <c r="G51" s="309" t="s">
        <v>403</v>
      </c>
      <c r="H51" s="309"/>
      <c r="I51" s="309"/>
      <c r="J51" s="309"/>
      <c r="K51" s="309"/>
      <c r="L51" s="309"/>
      <c r="M51" s="309"/>
      <c r="N51" s="309"/>
      <c r="O51" s="156" t="s">
        <v>1</v>
      </c>
      <c r="P51" s="282"/>
      <c r="Q51" s="156" t="s">
        <v>24</v>
      </c>
      <c r="R51" s="151">
        <f t="shared" si="1"/>
        <v>107</v>
      </c>
      <c r="S51" s="151">
        <v>43</v>
      </c>
      <c r="T51" s="191"/>
      <c r="U51" s="8"/>
      <c r="V51" s="8"/>
      <c r="W51" s="8"/>
    </row>
    <row r="52" spans="1:28" ht="15" customHeight="1">
      <c r="A52" s="148"/>
      <c r="B52" s="151" t="str">
        <f t="shared" si="0"/>
        <v>6C</v>
      </c>
      <c r="C52" s="192" t="s">
        <v>404</v>
      </c>
      <c r="D52" s="156" t="s">
        <v>0</v>
      </c>
      <c r="E52" s="165" t="s">
        <v>125</v>
      </c>
      <c r="F52" s="190" t="s">
        <v>187</v>
      </c>
      <c r="G52" s="309" t="s">
        <v>405</v>
      </c>
      <c r="H52" s="309"/>
      <c r="I52" s="309"/>
      <c r="J52" s="309"/>
      <c r="K52" s="309"/>
      <c r="L52" s="309"/>
      <c r="M52" s="309"/>
      <c r="N52" s="309"/>
      <c r="O52" s="156" t="s">
        <v>406</v>
      </c>
      <c r="P52" s="282"/>
      <c r="Q52" s="156" t="s">
        <v>24</v>
      </c>
      <c r="R52" s="151">
        <f t="shared" si="1"/>
        <v>108</v>
      </c>
      <c r="S52" s="151">
        <v>44</v>
      </c>
      <c r="T52" s="191"/>
      <c r="U52" s="8"/>
      <c r="V52" s="8"/>
      <c r="W52" s="8"/>
    </row>
    <row r="53" spans="1:28" ht="15" customHeight="1">
      <c r="A53" s="148"/>
      <c r="B53" s="151" t="str">
        <f t="shared" si="0"/>
        <v>6D</v>
      </c>
      <c r="C53" s="192" t="s">
        <v>404</v>
      </c>
      <c r="D53" s="151" t="s">
        <v>0</v>
      </c>
      <c r="E53" s="165" t="s">
        <v>125</v>
      </c>
      <c r="F53" s="190" t="s">
        <v>187</v>
      </c>
      <c r="G53" s="309" t="s">
        <v>407</v>
      </c>
      <c r="H53" s="309"/>
      <c r="I53" s="309"/>
      <c r="J53" s="309"/>
      <c r="K53" s="309"/>
      <c r="L53" s="309"/>
      <c r="M53" s="309"/>
      <c r="N53" s="309"/>
      <c r="O53" s="156" t="s">
        <v>1</v>
      </c>
      <c r="P53" s="282"/>
      <c r="Q53" s="156" t="s">
        <v>24</v>
      </c>
      <c r="R53" s="151">
        <f t="shared" si="1"/>
        <v>109</v>
      </c>
      <c r="S53" s="151">
        <v>45</v>
      </c>
      <c r="T53" s="191"/>
      <c r="U53" s="8"/>
      <c r="V53" s="8"/>
      <c r="W53" s="8"/>
    </row>
    <row r="54" spans="1:28" ht="15" customHeight="1">
      <c r="A54" s="148"/>
      <c r="B54" s="151" t="str">
        <f t="shared" si="0"/>
        <v>6E</v>
      </c>
      <c r="C54" s="192" t="s">
        <v>408</v>
      </c>
      <c r="D54" s="151" t="s">
        <v>0</v>
      </c>
      <c r="E54" s="165" t="s">
        <v>125</v>
      </c>
      <c r="F54" s="190" t="s">
        <v>187</v>
      </c>
      <c r="G54" s="309" t="s">
        <v>409</v>
      </c>
      <c r="H54" s="309"/>
      <c r="I54" s="309"/>
      <c r="J54" s="309"/>
      <c r="K54" s="309"/>
      <c r="L54" s="309"/>
      <c r="M54" s="309"/>
      <c r="N54" s="309"/>
      <c r="O54" s="156" t="s">
        <v>410</v>
      </c>
      <c r="P54" s="282"/>
      <c r="Q54" s="156" t="s">
        <v>24</v>
      </c>
      <c r="R54" s="151">
        <f t="shared" si="1"/>
        <v>110</v>
      </c>
      <c r="S54" s="151">
        <v>46</v>
      </c>
      <c r="T54" s="191"/>
      <c r="U54" s="8"/>
      <c r="V54" s="8"/>
      <c r="W54" s="8"/>
    </row>
    <row r="55" spans="1:28" ht="15" customHeight="1">
      <c r="A55" s="148"/>
      <c r="B55" s="151" t="str">
        <f t="shared" si="0"/>
        <v>6F</v>
      </c>
      <c r="C55" s="192" t="s">
        <v>408</v>
      </c>
      <c r="D55" s="151" t="s">
        <v>0</v>
      </c>
      <c r="E55" s="165" t="s">
        <v>125</v>
      </c>
      <c r="F55" s="190" t="s">
        <v>187</v>
      </c>
      <c r="G55" s="309" t="s">
        <v>411</v>
      </c>
      <c r="H55" s="309"/>
      <c r="I55" s="309"/>
      <c r="J55" s="309"/>
      <c r="K55" s="309"/>
      <c r="L55" s="309"/>
      <c r="M55" s="309"/>
      <c r="N55" s="309"/>
      <c r="O55" s="156" t="s">
        <v>279</v>
      </c>
      <c r="P55" s="282"/>
      <c r="Q55" s="156" t="s">
        <v>24</v>
      </c>
      <c r="R55" s="151">
        <f t="shared" si="1"/>
        <v>111</v>
      </c>
      <c r="S55" s="151">
        <v>47</v>
      </c>
      <c r="T55" s="191"/>
      <c r="U55" s="8"/>
      <c r="V55" s="8"/>
      <c r="W55" s="8"/>
    </row>
    <row r="56" spans="1:28" ht="15" customHeight="1">
      <c r="A56" s="148"/>
      <c r="B56" s="151" t="str">
        <f t="shared" si="0"/>
        <v>70</v>
      </c>
      <c r="C56" s="192" t="s">
        <v>412</v>
      </c>
      <c r="D56" s="151" t="s">
        <v>0</v>
      </c>
      <c r="E56" s="165" t="s">
        <v>125</v>
      </c>
      <c r="F56" s="190" t="s">
        <v>187</v>
      </c>
      <c r="G56" s="309" t="s">
        <v>413</v>
      </c>
      <c r="H56" s="309"/>
      <c r="I56" s="309"/>
      <c r="J56" s="309"/>
      <c r="K56" s="309"/>
      <c r="L56" s="309"/>
      <c r="M56" s="309"/>
      <c r="N56" s="309"/>
      <c r="O56" s="156" t="s">
        <v>414</v>
      </c>
      <c r="P56" s="282"/>
      <c r="Q56" s="156" t="s">
        <v>24</v>
      </c>
      <c r="R56" s="151">
        <f t="shared" si="1"/>
        <v>112</v>
      </c>
      <c r="S56" s="151">
        <v>48</v>
      </c>
      <c r="T56" s="191"/>
      <c r="U56" s="8"/>
      <c r="V56" s="8"/>
      <c r="W56" s="8"/>
    </row>
    <row r="57" spans="1:28" ht="15" customHeight="1">
      <c r="A57" s="148"/>
      <c r="B57" s="151" t="str">
        <f t="shared" si="0"/>
        <v>71</v>
      </c>
      <c r="C57" s="192" t="s">
        <v>412</v>
      </c>
      <c r="D57" s="151" t="s">
        <v>0</v>
      </c>
      <c r="E57" s="165" t="s">
        <v>125</v>
      </c>
      <c r="F57" s="196" t="s">
        <v>187</v>
      </c>
      <c r="G57" s="309" t="s">
        <v>415</v>
      </c>
      <c r="H57" s="309"/>
      <c r="I57" s="309"/>
      <c r="J57" s="309"/>
      <c r="K57" s="309"/>
      <c r="L57" s="309"/>
      <c r="M57" s="309"/>
      <c r="N57" s="309"/>
      <c r="O57" s="156" t="s">
        <v>1</v>
      </c>
      <c r="P57" s="282"/>
      <c r="Q57" s="156" t="s">
        <v>24</v>
      </c>
      <c r="R57" s="151">
        <f t="shared" si="1"/>
        <v>113</v>
      </c>
      <c r="S57" s="151">
        <v>49</v>
      </c>
      <c r="T57" s="191"/>
      <c r="U57" s="8"/>
      <c r="V57" s="8"/>
      <c r="W57" s="8"/>
    </row>
    <row r="58" spans="1:28" ht="15" customHeight="1">
      <c r="A58" s="148"/>
      <c r="B58" s="151" t="str">
        <f t="shared" si="0"/>
        <v>72</v>
      </c>
      <c r="C58" s="192" t="s">
        <v>416</v>
      </c>
      <c r="D58" s="156" t="s">
        <v>0</v>
      </c>
      <c r="E58" s="165" t="s">
        <v>125</v>
      </c>
      <c r="F58" s="190" t="s">
        <v>187</v>
      </c>
      <c r="G58" s="309" t="s">
        <v>417</v>
      </c>
      <c r="H58" s="309"/>
      <c r="I58" s="309"/>
      <c r="J58" s="309"/>
      <c r="K58" s="309"/>
      <c r="L58" s="309"/>
      <c r="M58" s="309"/>
      <c r="N58" s="309"/>
      <c r="O58" s="156" t="s">
        <v>418</v>
      </c>
      <c r="P58" s="282"/>
      <c r="Q58" s="156" t="s">
        <v>24</v>
      </c>
      <c r="R58" s="151">
        <f t="shared" si="1"/>
        <v>114</v>
      </c>
      <c r="S58" s="151">
        <v>50</v>
      </c>
      <c r="T58" s="191"/>
      <c r="U58" s="8"/>
      <c r="V58" s="8"/>
      <c r="W58" s="8"/>
    </row>
    <row r="59" spans="1:28" ht="15" customHeight="1">
      <c r="A59" s="148"/>
      <c r="B59" s="151" t="str">
        <f t="shared" si="0"/>
        <v>73</v>
      </c>
      <c r="C59" s="192" t="s">
        <v>416</v>
      </c>
      <c r="D59" s="156" t="s">
        <v>0</v>
      </c>
      <c r="E59" s="165" t="s">
        <v>125</v>
      </c>
      <c r="F59" s="190" t="s">
        <v>187</v>
      </c>
      <c r="G59" s="309" t="s">
        <v>419</v>
      </c>
      <c r="H59" s="309"/>
      <c r="I59" s="309"/>
      <c r="J59" s="309"/>
      <c r="K59" s="309"/>
      <c r="L59" s="309"/>
      <c r="M59" s="309"/>
      <c r="N59" s="309"/>
      <c r="O59" s="156" t="s">
        <v>1</v>
      </c>
      <c r="P59" s="282"/>
      <c r="Q59" s="156" t="s">
        <v>24</v>
      </c>
      <c r="R59" s="151">
        <f t="shared" si="1"/>
        <v>115</v>
      </c>
      <c r="S59" s="151">
        <v>51</v>
      </c>
      <c r="T59" s="191"/>
      <c r="U59" s="8"/>
      <c r="V59" s="8"/>
      <c r="W59" s="8"/>
    </row>
    <row r="60" spans="1:28" ht="15" customHeight="1">
      <c r="A60" s="148"/>
      <c r="B60" s="156" t="str">
        <f t="shared" si="0"/>
        <v>74</v>
      </c>
      <c r="C60" s="146" t="s">
        <v>420</v>
      </c>
      <c r="D60" s="156" t="s">
        <v>0</v>
      </c>
      <c r="E60" s="165" t="s">
        <v>125</v>
      </c>
      <c r="F60" s="165" t="s">
        <v>187</v>
      </c>
      <c r="G60" s="258" t="s">
        <v>795</v>
      </c>
      <c r="H60" s="197"/>
      <c r="I60" s="316" t="s">
        <v>421</v>
      </c>
      <c r="J60" s="317"/>
      <c r="K60" s="193"/>
      <c r="L60" s="197" t="s">
        <v>422</v>
      </c>
      <c r="M60" s="197" t="s">
        <v>423</v>
      </c>
      <c r="N60" s="197" t="s">
        <v>424</v>
      </c>
      <c r="O60" s="156" t="s">
        <v>1</v>
      </c>
      <c r="P60" s="282"/>
      <c r="Q60" s="156" t="s">
        <v>24</v>
      </c>
      <c r="R60" s="151">
        <f t="shared" si="1"/>
        <v>116</v>
      </c>
      <c r="S60" s="151">
        <v>52</v>
      </c>
      <c r="T60" s="191"/>
    </row>
    <row r="61" spans="1:28" ht="15" customHeight="1">
      <c r="A61" s="148"/>
      <c r="B61" s="151" t="str">
        <f t="shared" si="0"/>
        <v>75</v>
      </c>
      <c r="C61" s="153" t="s">
        <v>690</v>
      </c>
      <c r="D61" s="158" t="s">
        <v>0</v>
      </c>
      <c r="E61" s="158" t="s">
        <v>125</v>
      </c>
      <c r="F61" s="158" t="s">
        <v>187</v>
      </c>
      <c r="G61" s="282" t="s">
        <v>691</v>
      </c>
      <c r="H61" s="282"/>
      <c r="I61" s="282"/>
      <c r="J61" s="282"/>
      <c r="K61" s="282"/>
      <c r="L61" s="282"/>
      <c r="M61" s="282"/>
      <c r="N61" s="282"/>
      <c r="O61" s="156" t="s">
        <v>707</v>
      </c>
      <c r="P61" s="282"/>
      <c r="Q61" s="156" t="s">
        <v>24</v>
      </c>
      <c r="R61" s="151">
        <f t="shared" si="1"/>
        <v>117</v>
      </c>
      <c r="S61" s="151">
        <v>53</v>
      </c>
      <c r="T61" s="198"/>
      <c r="U61" s="319"/>
      <c r="V61" s="319"/>
      <c r="W61" s="319"/>
      <c r="X61" s="319"/>
      <c r="Y61" s="319"/>
      <c r="Z61" s="319"/>
      <c r="AA61" s="319"/>
      <c r="AB61" s="319"/>
    </row>
    <row r="62" spans="1:28" ht="15" customHeight="1">
      <c r="A62" s="148"/>
      <c r="B62" s="151" t="str">
        <f t="shared" si="0"/>
        <v>76</v>
      </c>
      <c r="C62" s="199" t="s">
        <v>427</v>
      </c>
      <c r="D62" s="156" t="s">
        <v>0</v>
      </c>
      <c r="E62" s="165" t="s">
        <v>125</v>
      </c>
      <c r="F62" s="165" t="s">
        <v>187</v>
      </c>
      <c r="G62" s="197" t="s">
        <v>428</v>
      </c>
      <c r="H62" s="193" t="s">
        <v>797</v>
      </c>
      <c r="I62" s="193" t="s">
        <v>798</v>
      </c>
      <c r="J62" s="193"/>
      <c r="K62" s="310" t="s">
        <v>429</v>
      </c>
      <c r="L62" s="310"/>
      <c r="M62" s="282" t="s">
        <v>430</v>
      </c>
      <c r="N62" s="282"/>
      <c r="O62" s="156" t="s">
        <v>345</v>
      </c>
      <c r="P62" s="282"/>
      <c r="Q62" s="156" t="s">
        <v>24</v>
      </c>
      <c r="R62" s="151">
        <f t="shared" si="1"/>
        <v>118</v>
      </c>
      <c r="S62" s="151">
        <v>54</v>
      </c>
      <c r="T62" s="198"/>
    </row>
    <row r="63" spans="1:28" ht="15" customHeight="1">
      <c r="A63" s="148"/>
      <c r="B63" s="151" t="str">
        <f t="shared" si="0"/>
        <v>77</v>
      </c>
      <c r="C63" s="138" t="s">
        <v>431</v>
      </c>
      <c r="D63" s="156" t="s">
        <v>0</v>
      </c>
      <c r="E63" s="165" t="s">
        <v>125</v>
      </c>
      <c r="F63" s="190" t="s">
        <v>187</v>
      </c>
      <c r="G63" s="200" t="s">
        <v>432</v>
      </c>
      <c r="H63" s="138" t="s">
        <v>433</v>
      </c>
      <c r="I63" s="201" t="s">
        <v>434</v>
      </c>
      <c r="J63" s="138" t="s">
        <v>435</v>
      </c>
      <c r="K63" s="148"/>
      <c r="L63" s="138" t="s">
        <v>436</v>
      </c>
      <c r="M63" s="310" t="s">
        <v>437</v>
      </c>
      <c r="N63" s="310"/>
      <c r="O63" s="156" t="s">
        <v>1</v>
      </c>
      <c r="P63" s="282"/>
      <c r="Q63" s="156" t="s">
        <v>24</v>
      </c>
      <c r="R63" s="151">
        <f t="shared" si="1"/>
        <v>119</v>
      </c>
      <c r="S63" s="151">
        <v>55</v>
      </c>
      <c r="T63" s="198"/>
      <c r="U63" s="8"/>
      <c r="V63" s="8"/>
      <c r="W63" s="8"/>
      <c r="X63" s="8"/>
      <c r="Y63" s="8"/>
    </row>
    <row r="64" spans="1:28" ht="15" customHeight="1">
      <c r="A64" s="148"/>
      <c r="B64" s="151" t="str">
        <f t="shared" si="0"/>
        <v>78</v>
      </c>
      <c r="C64" s="138" t="s">
        <v>438</v>
      </c>
      <c r="D64" s="179" t="s">
        <v>0</v>
      </c>
      <c r="E64" s="190" t="s">
        <v>125</v>
      </c>
      <c r="F64" s="190" t="s">
        <v>187</v>
      </c>
      <c r="G64" s="202"/>
      <c r="H64" s="202"/>
      <c r="I64" s="314" t="s">
        <v>439</v>
      </c>
      <c r="J64" s="314"/>
      <c r="K64" s="314"/>
      <c r="L64" s="314"/>
      <c r="M64" s="314"/>
      <c r="N64" s="314"/>
      <c r="O64" s="156" t="s">
        <v>394</v>
      </c>
      <c r="P64" s="282"/>
      <c r="Q64" s="156" t="s">
        <v>24</v>
      </c>
      <c r="R64" s="151">
        <f t="shared" si="1"/>
        <v>120</v>
      </c>
      <c r="S64" s="151">
        <v>56</v>
      </c>
      <c r="T64" s="198"/>
      <c r="U64" s="8"/>
      <c r="V64" s="8"/>
      <c r="W64" s="8"/>
      <c r="X64" s="8"/>
      <c r="Y64" s="8"/>
    </row>
    <row r="65" spans="1:23" ht="15" customHeight="1">
      <c r="A65" s="148"/>
      <c r="B65" s="151" t="str">
        <f t="shared" si="0"/>
        <v>79</v>
      </c>
      <c r="C65" s="138" t="s">
        <v>440</v>
      </c>
      <c r="D65" s="154" t="s">
        <v>0</v>
      </c>
      <c r="E65" s="154" t="s">
        <v>125</v>
      </c>
      <c r="F65" s="154" t="s">
        <v>187</v>
      </c>
      <c r="G65" s="182"/>
      <c r="H65" s="203"/>
      <c r="I65" s="314" t="s">
        <v>441</v>
      </c>
      <c r="J65" s="314"/>
      <c r="K65" s="314"/>
      <c r="L65" s="314"/>
      <c r="M65" s="314"/>
      <c r="N65" s="314"/>
      <c r="O65" s="156" t="s">
        <v>394</v>
      </c>
      <c r="P65" s="282"/>
      <c r="Q65" s="156" t="s">
        <v>24</v>
      </c>
      <c r="R65" s="151">
        <f t="shared" si="1"/>
        <v>121</v>
      </c>
      <c r="S65" s="151">
        <v>57</v>
      </c>
      <c r="T65" s="198"/>
      <c r="W65" s="8"/>
    </row>
    <row r="66" spans="1:23" ht="15" customHeight="1">
      <c r="A66" s="148"/>
      <c r="B66" s="151" t="str">
        <f t="shared" si="0"/>
        <v>7A</v>
      </c>
      <c r="C66" s="138" t="s">
        <v>442</v>
      </c>
      <c r="D66" s="154" t="s">
        <v>0</v>
      </c>
      <c r="E66" s="190" t="s">
        <v>125</v>
      </c>
      <c r="F66" s="190" t="s">
        <v>187</v>
      </c>
      <c r="G66" s="204" t="s">
        <v>443</v>
      </c>
      <c r="H66" s="205" t="s">
        <v>444</v>
      </c>
      <c r="I66" s="314" t="s">
        <v>445</v>
      </c>
      <c r="J66" s="314"/>
      <c r="K66" s="282" t="s">
        <v>446</v>
      </c>
      <c r="L66" s="282"/>
      <c r="M66" s="314" t="s">
        <v>447</v>
      </c>
      <c r="N66" s="314"/>
      <c r="O66" s="156" t="s">
        <v>448</v>
      </c>
      <c r="P66" s="282"/>
      <c r="Q66" s="156" t="s">
        <v>24</v>
      </c>
      <c r="R66" s="151">
        <f t="shared" si="1"/>
        <v>122</v>
      </c>
      <c r="S66" s="151">
        <v>58</v>
      </c>
      <c r="T66" s="198"/>
      <c r="W66" s="8"/>
    </row>
    <row r="67" spans="1:23" ht="15" customHeight="1">
      <c r="A67" s="148"/>
      <c r="B67" s="156" t="str">
        <f t="shared" si="0"/>
        <v>7B</v>
      </c>
      <c r="C67" s="138" t="s">
        <v>449</v>
      </c>
      <c r="D67" s="154" t="s">
        <v>0</v>
      </c>
      <c r="E67" s="190" t="s">
        <v>125</v>
      </c>
      <c r="F67" s="190" t="s">
        <v>187</v>
      </c>
      <c r="G67" s="282" t="s">
        <v>450</v>
      </c>
      <c r="H67" s="282"/>
      <c r="I67" s="282"/>
      <c r="J67" s="282"/>
      <c r="K67" s="206"/>
      <c r="L67" s="206"/>
      <c r="M67" s="207" t="s">
        <v>451</v>
      </c>
      <c r="N67" s="207" t="s">
        <v>452</v>
      </c>
      <c r="O67" s="156" t="s">
        <v>1</v>
      </c>
      <c r="P67" s="282"/>
      <c r="Q67" s="156" t="s">
        <v>24</v>
      </c>
      <c r="R67" s="151">
        <f t="shared" si="1"/>
        <v>123</v>
      </c>
      <c r="S67" s="151">
        <v>59</v>
      </c>
      <c r="T67" s="123"/>
    </row>
    <row r="68" spans="1:23" ht="15" customHeight="1">
      <c r="A68" s="148"/>
      <c r="B68" s="156" t="str">
        <f t="shared" si="0"/>
        <v>7C</v>
      </c>
      <c r="C68" s="138" t="s">
        <v>453</v>
      </c>
      <c r="D68" s="154" t="s">
        <v>0</v>
      </c>
      <c r="E68" s="154" t="s">
        <v>125</v>
      </c>
      <c r="F68" s="154" t="s">
        <v>187</v>
      </c>
      <c r="G68" s="208"/>
      <c r="H68" s="208"/>
      <c r="I68" s="315" t="s">
        <v>454</v>
      </c>
      <c r="J68" s="315"/>
      <c r="K68" s="209"/>
      <c r="L68" s="200" t="s">
        <v>455</v>
      </c>
      <c r="M68" s="209"/>
      <c r="N68" s="207" t="s">
        <v>456</v>
      </c>
      <c r="O68" s="156" t="s">
        <v>457</v>
      </c>
      <c r="P68" s="282"/>
      <c r="Q68" s="156" t="s">
        <v>24</v>
      </c>
      <c r="R68" s="151">
        <f t="shared" si="1"/>
        <v>124</v>
      </c>
      <c r="S68" s="151">
        <v>60</v>
      </c>
      <c r="T68" s="123"/>
    </row>
    <row r="69" spans="1:23" ht="15" customHeight="1">
      <c r="A69" s="148"/>
      <c r="B69" s="151" t="str">
        <f t="shared" si="0"/>
        <v>7D</v>
      </c>
      <c r="C69" s="146" t="s">
        <v>458</v>
      </c>
      <c r="D69" s="151" t="s">
        <v>0</v>
      </c>
      <c r="E69" s="151" t="s">
        <v>125</v>
      </c>
      <c r="F69" s="151" t="s">
        <v>187</v>
      </c>
      <c r="G69" s="156"/>
      <c r="H69" s="210"/>
      <c r="I69" s="165"/>
      <c r="J69" s="146" t="s">
        <v>459</v>
      </c>
      <c r="K69" s="148"/>
      <c r="L69" s="282" t="s">
        <v>460</v>
      </c>
      <c r="M69" s="282"/>
      <c r="N69" s="282"/>
      <c r="O69" s="156" t="s">
        <v>1</v>
      </c>
      <c r="P69" s="282"/>
      <c r="Q69" s="156" t="s">
        <v>24</v>
      </c>
      <c r="R69" s="151">
        <f t="shared" si="1"/>
        <v>125</v>
      </c>
      <c r="S69" s="151">
        <v>61</v>
      </c>
      <c r="T69" s="211"/>
      <c r="U69" s="105"/>
    </row>
    <row r="70" spans="1:23" ht="15" customHeight="1">
      <c r="A70" s="148"/>
      <c r="B70" s="151" t="str">
        <f t="shared" si="0"/>
        <v>7E</v>
      </c>
      <c r="C70" s="146" t="s">
        <v>231</v>
      </c>
      <c r="D70" s="151" t="s">
        <v>0</v>
      </c>
      <c r="E70" s="151" t="s">
        <v>125</v>
      </c>
      <c r="F70" s="165" t="s">
        <v>187</v>
      </c>
      <c r="G70" s="282" t="s">
        <v>461</v>
      </c>
      <c r="H70" s="282"/>
      <c r="I70" s="282"/>
      <c r="J70" s="282"/>
      <c r="K70" s="282"/>
      <c r="L70" s="282"/>
      <c r="M70" s="282"/>
      <c r="N70" s="282"/>
      <c r="O70" s="156" t="s">
        <v>1</v>
      </c>
      <c r="P70" s="282"/>
      <c r="Q70" s="156" t="s">
        <v>24</v>
      </c>
      <c r="R70" s="151">
        <f t="shared" si="1"/>
        <v>126</v>
      </c>
      <c r="S70" s="151">
        <v>62</v>
      </c>
      <c r="T70" s="211"/>
      <c r="U70" s="105"/>
    </row>
    <row r="71" spans="1:23" ht="16.5">
      <c r="A71" s="148"/>
      <c r="B71" s="151" t="str">
        <f t="shared" si="0"/>
        <v>7F</v>
      </c>
      <c r="C71" s="210"/>
      <c r="D71" s="151" t="s">
        <v>0</v>
      </c>
      <c r="E71" s="165" t="s">
        <v>125</v>
      </c>
      <c r="F71" s="151" t="s">
        <v>187</v>
      </c>
      <c r="G71" s="151"/>
      <c r="H71" s="151"/>
      <c r="I71" s="151"/>
      <c r="J71" s="151"/>
      <c r="K71" s="209"/>
      <c r="L71" s="212"/>
      <c r="M71" s="212"/>
      <c r="N71" s="212"/>
      <c r="O71" s="156" t="s">
        <v>1</v>
      </c>
      <c r="P71" s="213" t="s">
        <v>216</v>
      </c>
      <c r="Q71" s="156" t="s">
        <v>24</v>
      </c>
      <c r="R71" s="151">
        <f t="shared" si="1"/>
        <v>127</v>
      </c>
      <c r="S71" s="151">
        <v>63</v>
      </c>
      <c r="T71" s="123"/>
    </row>
    <row r="72" spans="1:23" ht="16.5">
      <c r="A72" s="148"/>
      <c r="B72" s="148"/>
      <c r="C72" s="148"/>
      <c r="D72" s="148"/>
      <c r="E72" s="148"/>
      <c r="F72" s="148"/>
      <c r="G72" s="318"/>
      <c r="H72" s="318"/>
      <c r="I72" s="318"/>
      <c r="J72" s="318"/>
      <c r="K72" s="318"/>
      <c r="L72" s="318"/>
      <c r="M72" s="318"/>
      <c r="N72" s="318"/>
      <c r="O72" s="123"/>
      <c r="P72" s="123"/>
      <c r="Q72" s="214"/>
      <c r="R72" s="215"/>
      <c r="S72" s="123"/>
      <c r="T72" s="123"/>
    </row>
    <row r="73" spans="1:23">
      <c r="G73" s="103"/>
      <c r="H73" s="103"/>
      <c r="I73" s="103"/>
      <c r="J73" s="103"/>
      <c r="K73" s="103"/>
      <c r="L73" s="103"/>
      <c r="M73" s="103"/>
      <c r="N73" s="103"/>
      <c r="O73" s="100"/>
      <c r="P73" s="100"/>
      <c r="Q73" s="100"/>
      <c r="R73" s="101"/>
      <c r="S73" s="100"/>
      <c r="T73" s="100"/>
      <c r="U73" s="100"/>
    </row>
    <row r="74" spans="1:23">
      <c r="G74" s="102"/>
      <c r="H74" s="102"/>
      <c r="I74" s="102"/>
      <c r="J74" s="102"/>
      <c r="K74" s="102"/>
      <c r="L74" s="102"/>
      <c r="M74" s="102"/>
      <c r="N74" s="103"/>
      <c r="O74" s="100"/>
      <c r="P74" s="100"/>
      <c r="Q74" s="100"/>
      <c r="R74" s="101"/>
      <c r="S74" s="100"/>
      <c r="T74" s="100"/>
      <c r="U74" s="100"/>
    </row>
    <row r="75" spans="1:23"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00"/>
      <c r="P75" s="100"/>
      <c r="Q75" s="100"/>
      <c r="R75" s="100"/>
      <c r="S75" s="100"/>
      <c r="T75" s="100"/>
      <c r="U75" s="100"/>
    </row>
    <row r="76" spans="1:23">
      <c r="C76" s="124"/>
      <c r="D76" s="124"/>
      <c r="E76" s="124"/>
      <c r="F76" s="124"/>
      <c r="G76" s="308"/>
      <c r="H76" s="308"/>
      <c r="I76" s="308"/>
      <c r="J76" s="308"/>
      <c r="K76" s="308"/>
      <c r="L76" s="308"/>
      <c r="M76" s="308"/>
      <c r="N76" s="308"/>
      <c r="O76" s="100"/>
      <c r="P76" s="100"/>
      <c r="Q76" s="100"/>
      <c r="R76" s="100"/>
      <c r="S76" s="100"/>
      <c r="T76" s="100"/>
      <c r="U76" s="100"/>
    </row>
    <row r="77" spans="1:23">
      <c r="C77" s="124"/>
      <c r="D77" s="124"/>
      <c r="E77" s="124"/>
      <c r="F77" s="124"/>
      <c r="G77" s="134"/>
      <c r="H77" s="134"/>
      <c r="I77" s="134"/>
      <c r="J77" s="134"/>
      <c r="K77" s="134"/>
      <c r="L77" s="134"/>
      <c r="M77" s="134"/>
      <c r="N77" s="134"/>
      <c r="O77" s="100"/>
      <c r="P77" s="100"/>
      <c r="Q77" s="100"/>
      <c r="R77" s="100"/>
      <c r="S77" s="100"/>
      <c r="T77" s="100"/>
      <c r="U77" s="100"/>
    </row>
    <row r="78" spans="1:23">
      <c r="C78" s="124"/>
      <c r="D78" s="124"/>
      <c r="E78" s="124"/>
      <c r="F78" s="124"/>
      <c r="G78" s="106"/>
      <c r="H78" s="106"/>
      <c r="I78" s="106"/>
      <c r="J78" s="106"/>
      <c r="K78" s="106"/>
      <c r="L78" s="106"/>
      <c r="M78" s="106"/>
      <c r="N78" s="134"/>
      <c r="O78" s="100"/>
      <c r="P78" s="100"/>
      <c r="Q78" s="100"/>
      <c r="R78" s="100"/>
      <c r="S78" s="100"/>
      <c r="T78" s="100"/>
      <c r="U78" s="100"/>
    </row>
    <row r="79" spans="1:23">
      <c r="O79" s="100"/>
      <c r="P79" s="100"/>
      <c r="Q79" s="100"/>
      <c r="R79" s="100"/>
      <c r="S79" s="100"/>
      <c r="T79" s="100"/>
      <c r="U79" s="100"/>
    </row>
    <row r="80" spans="1:23">
      <c r="O80" s="100"/>
      <c r="P80" s="100"/>
      <c r="Q80" s="100"/>
      <c r="R80" s="100"/>
      <c r="S80" s="100"/>
      <c r="T80" s="100"/>
      <c r="U80" s="100"/>
    </row>
    <row r="81" spans="15:21">
      <c r="O81" s="100"/>
      <c r="P81" s="100"/>
      <c r="Q81" s="100"/>
      <c r="R81" s="100"/>
      <c r="S81" s="100"/>
      <c r="T81" s="100"/>
      <c r="U81" s="100"/>
    </row>
    <row r="82" spans="15:21">
      <c r="O82" s="100"/>
      <c r="P82" s="100"/>
      <c r="Q82" s="100"/>
      <c r="R82" s="100"/>
      <c r="S82" s="100"/>
      <c r="T82" s="100"/>
      <c r="U82" s="100"/>
    </row>
  </sheetData>
  <mergeCells count="75">
    <mergeCell ref="U13:W13"/>
    <mergeCell ref="X13:Z13"/>
    <mergeCell ref="G17:N17"/>
    <mergeCell ref="J13:K13"/>
    <mergeCell ref="G28:N28"/>
    <mergeCell ref="AA13:AB13"/>
    <mergeCell ref="U61:AB61"/>
    <mergeCell ref="G53:N53"/>
    <mergeCell ref="P9:P70"/>
    <mergeCell ref="G30:N30"/>
    <mergeCell ref="G35:N35"/>
    <mergeCell ref="G27:N27"/>
    <mergeCell ref="G31:N31"/>
    <mergeCell ref="G32:N32"/>
    <mergeCell ref="G13:I13"/>
    <mergeCell ref="G49:N49"/>
    <mergeCell ref="G51:N51"/>
    <mergeCell ref="G50:N50"/>
    <mergeCell ref="G52:N52"/>
    <mergeCell ref="G41:N41"/>
    <mergeCell ref="G42:N42"/>
    <mergeCell ref="G72:N72"/>
    <mergeCell ref="G59:N59"/>
    <mergeCell ref="M63:N63"/>
    <mergeCell ref="I64:N64"/>
    <mergeCell ref="I65:N65"/>
    <mergeCell ref="M66:N66"/>
    <mergeCell ref="G56:N56"/>
    <mergeCell ref="G70:N70"/>
    <mergeCell ref="I66:J66"/>
    <mergeCell ref="G57:N57"/>
    <mergeCell ref="G58:N58"/>
    <mergeCell ref="G61:N61"/>
    <mergeCell ref="K66:L66"/>
    <mergeCell ref="G67:J67"/>
    <mergeCell ref="I68:J68"/>
    <mergeCell ref="I60:J60"/>
    <mergeCell ref="G33:N33"/>
    <mergeCell ref="G34:N34"/>
    <mergeCell ref="G37:N37"/>
    <mergeCell ref="G21:N21"/>
    <mergeCell ref="G24:N24"/>
    <mergeCell ref="G25:N25"/>
    <mergeCell ref="G26:N26"/>
    <mergeCell ref="B3:C5"/>
    <mergeCell ref="G8:N8"/>
    <mergeCell ref="G10:N10"/>
    <mergeCell ref="G22:N22"/>
    <mergeCell ref="G23:N23"/>
    <mergeCell ref="G12:N12"/>
    <mergeCell ref="G16:N16"/>
    <mergeCell ref="G9:N9"/>
    <mergeCell ref="G11:N11"/>
    <mergeCell ref="G14:N14"/>
    <mergeCell ref="G15:N15"/>
    <mergeCell ref="G18:N18"/>
    <mergeCell ref="G19:N19"/>
    <mergeCell ref="G20:N20"/>
    <mergeCell ref="L13:N13"/>
    <mergeCell ref="G76:N76"/>
    <mergeCell ref="G36:N36"/>
    <mergeCell ref="G40:N40"/>
    <mergeCell ref="M62:N62"/>
    <mergeCell ref="K62:L62"/>
    <mergeCell ref="G48:N48"/>
    <mergeCell ref="G47:N47"/>
    <mergeCell ref="G39:N39"/>
    <mergeCell ref="L69:N69"/>
    <mergeCell ref="G46:N46"/>
    <mergeCell ref="G43:N43"/>
    <mergeCell ref="G44:N44"/>
    <mergeCell ref="G45:N45"/>
    <mergeCell ref="G38:N38"/>
    <mergeCell ref="G54:N54"/>
    <mergeCell ref="G55:N5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2"/>
  <sheetViews>
    <sheetView tabSelected="1" zoomScale="85" zoomScaleNormal="85" workbookViewId="0">
      <pane xSplit="6" ySplit="7" topLeftCell="G8" activePane="bottomRight" state="frozen"/>
      <selection pane="topRight" activeCell="E1" sqref="E1"/>
      <selection pane="bottomLeft" activeCell="A5" sqref="A5"/>
      <selection pane="bottomRight" activeCell="G15" sqref="G15:N15"/>
    </sheetView>
  </sheetViews>
  <sheetFormatPr defaultColWidth="9" defaultRowHeight="13.5"/>
  <cols>
    <col min="1" max="1" width="2.875" style="124" customWidth="1"/>
    <col min="2" max="2" width="7.625" style="124" bestFit="1" customWidth="1"/>
    <col min="3" max="3" width="25.875" style="124" bestFit="1" customWidth="1"/>
    <col min="4" max="4" width="4.25" style="124" bestFit="1" customWidth="1"/>
    <col min="5" max="5" width="4.25" style="124" customWidth="1"/>
    <col min="6" max="6" width="4.375" style="124" customWidth="1"/>
    <col min="7" max="14" width="17" style="124" customWidth="1"/>
    <col min="15" max="15" width="9" style="124"/>
    <col min="16" max="16" width="0" style="124" hidden="1" customWidth="1"/>
    <col min="17" max="16384" width="9" style="124"/>
  </cols>
  <sheetData>
    <row r="1" spans="1:23" ht="17.25" thickBot="1">
      <c r="A1" s="148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259"/>
      <c r="M1" s="259"/>
      <c r="N1" s="259"/>
      <c r="O1" s="259"/>
      <c r="P1" s="259"/>
      <c r="Q1" s="259"/>
      <c r="R1" s="259"/>
      <c r="S1" s="259"/>
      <c r="T1" s="259"/>
    </row>
    <row r="2" spans="1:23" ht="16.5">
      <c r="A2" s="148"/>
      <c r="B2" s="123"/>
      <c r="C2" s="123"/>
      <c r="D2" s="123"/>
      <c r="E2" s="123"/>
      <c r="F2" s="123"/>
      <c r="G2" s="135" t="s">
        <v>189</v>
      </c>
      <c r="H2" s="136" t="s">
        <v>190</v>
      </c>
      <c r="I2" s="123"/>
      <c r="J2" s="135" t="s">
        <v>125</v>
      </c>
      <c r="K2" s="136" t="s">
        <v>191</v>
      </c>
      <c r="L2" s="259"/>
      <c r="M2" s="259"/>
      <c r="N2" s="259"/>
      <c r="O2" s="259"/>
      <c r="P2" s="259"/>
      <c r="Q2" s="259"/>
      <c r="R2" s="259"/>
      <c r="S2" s="259"/>
      <c r="T2" s="259"/>
    </row>
    <row r="3" spans="1:23" ht="17.25" thickBot="1">
      <c r="A3" s="148"/>
      <c r="B3" s="295" t="s">
        <v>803</v>
      </c>
      <c r="C3" s="296"/>
      <c r="D3" s="139"/>
      <c r="E3" s="139"/>
      <c r="F3" s="139"/>
      <c r="G3" s="140" t="s">
        <v>0</v>
      </c>
      <c r="H3" s="141" t="s">
        <v>194</v>
      </c>
      <c r="I3" s="123"/>
      <c r="J3" s="142" t="s">
        <v>195</v>
      </c>
      <c r="K3" s="143" t="s">
        <v>196</v>
      </c>
      <c r="L3" s="259"/>
      <c r="M3" s="259"/>
      <c r="N3" s="259"/>
      <c r="O3" s="259"/>
      <c r="P3" s="259"/>
      <c r="Q3" s="259"/>
      <c r="R3" s="259"/>
      <c r="S3" s="259"/>
      <c r="T3" s="259"/>
    </row>
    <row r="4" spans="1:23" ht="17.25" thickBot="1">
      <c r="A4" s="148"/>
      <c r="B4" s="296"/>
      <c r="C4" s="296"/>
      <c r="D4" s="139"/>
      <c r="E4" s="139"/>
      <c r="F4" s="139"/>
      <c r="G4" s="142" t="s">
        <v>197</v>
      </c>
      <c r="H4" s="143" t="s">
        <v>198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</row>
    <row r="5" spans="1:23" ht="16.5">
      <c r="A5" s="148"/>
      <c r="B5" s="296"/>
      <c r="C5" s="296"/>
      <c r="D5" s="139"/>
      <c r="E5" s="139"/>
      <c r="F5" s="139"/>
      <c r="G5" s="147"/>
      <c r="H5" s="123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</row>
    <row r="6" spans="1:23" ht="16.5">
      <c r="A6" s="148"/>
      <c r="B6" s="123"/>
      <c r="C6" s="123"/>
      <c r="D6" s="123"/>
      <c r="E6" s="123"/>
      <c r="F6" s="123"/>
      <c r="G6" s="123"/>
      <c r="H6" s="123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</row>
    <row r="7" spans="1:23" ht="16.5" customHeight="1">
      <c r="A7" s="148"/>
      <c r="B7" s="149" t="s">
        <v>199</v>
      </c>
      <c r="C7" s="150" t="s">
        <v>200</v>
      </c>
      <c r="D7" s="149" t="s">
        <v>0</v>
      </c>
      <c r="E7" s="149" t="s">
        <v>125</v>
      </c>
      <c r="F7" s="149" t="s">
        <v>201</v>
      </c>
      <c r="G7" s="149" t="s">
        <v>202</v>
      </c>
      <c r="H7" s="149" t="s">
        <v>203</v>
      </c>
      <c r="I7" s="149" t="s">
        <v>204</v>
      </c>
      <c r="J7" s="149" t="s">
        <v>205</v>
      </c>
      <c r="K7" s="149" t="s">
        <v>206</v>
      </c>
      <c r="L7" s="149" t="s">
        <v>207</v>
      </c>
      <c r="M7" s="149" t="s">
        <v>208</v>
      </c>
      <c r="N7" s="149" t="s">
        <v>209</v>
      </c>
      <c r="O7" s="149" t="s">
        <v>210</v>
      </c>
      <c r="P7" s="149" t="s">
        <v>211</v>
      </c>
      <c r="Q7" s="149" t="s">
        <v>212</v>
      </c>
      <c r="R7" s="149" t="s">
        <v>213</v>
      </c>
      <c r="S7" s="149" t="s">
        <v>214</v>
      </c>
      <c r="T7" s="259"/>
    </row>
    <row r="8" spans="1:23" ht="15" customHeight="1">
      <c r="A8" s="148"/>
      <c r="B8" s="176" t="str">
        <f t="shared" ref="B8:B64" si="0">DEC2HEX(R8)</f>
        <v>80</v>
      </c>
      <c r="C8" s="279" t="s">
        <v>783</v>
      </c>
      <c r="D8" s="158" t="s">
        <v>0</v>
      </c>
      <c r="E8" s="158" t="s">
        <v>125</v>
      </c>
      <c r="F8" s="158" t="s">
        <v>187</v>
      </c>
      <c r="G8" s="282" t="s">
        <v>785</v>
      </c>
      <c r="H8" s="282"/>
      <c r="I8" s="282"/>
      <c r="J8" s="282"/>
      <c r="K8" s="282"/>
      <c r="L8" s="282"/>
      <c r="M8" s="282"/>
      <c r="N8" s="282"/>
      <c r="O8" s="179" t="s">
        <v>706</v>
      </c>
      <c r="P8" s="213" t="s">
        <v>216</v>
      </c>
      <c r="Q8" s="156" t="s">
        <v>24</v>
      </c>
      <c r="R8" s="151">
        <v>128</v>
      </c>
      <c r="S8" s="151">
        <v>0</v>
      </c>
      <c r="T8" s="259"/>
      <c r="U8" s="105"/>
    </row>
    <row r="9" spans="1:23" ht="15" customHeight="1">
      <c r="A9" s="148"/>
      <c r="B9" s="176" t="str">
        <f t="shared" si="0"/>
        <v>81</v>
      </c>
      <c r="C9" s="279" t="s">
        <v>784</v>
      </c>
      <c r="D9" s="274" t="s">
        <v>0</v>
      </c>
      <c r="E9" s="274" t="s">
        <v>125</v>
      </c>
      <c r="F9" s="274" t="s">
        <v>187</v>
      </c>
      <c r="G9" s="282" t="s">
        <v>786</v>
      </c>
      <c r="H9" s="282"/>
      <c r="I9" s="282"/>
      <c r="J9" s="282"/>
      <c r="K9" s="282"/>
      <c r="L9" s="282"/>
      <c r="M9" s="282"/>
      <c r="N9" s="282"/>
      <c r="O9" s="179" t="s">
        <v>1</v>
      </c>
      <c r="P9" s="329" t="s">
        <v>466</v>
      </c>
      <c r="Q9" s="156" t="s">
        <v>24</v>
      </c>
      <c r="R9" s="151">
        <f t="shared" ref="R9:R71" si="1">R8+1</f>
        <v>129</v>
      </c>
      <c r="S9" s="151">
        <v>1</v>
      </c>
      <c r="T9" s="259"/>
    </row>
    <row r="10" spans="1:23" ht="15" customHeight="1">
      <c r="A10" s="148"/>
      <c r="B10" s="176" t="str">
        <f t="shared" si="0"/>
        <v>82</v>
      </c>
      <c r="C10" s="153" t="s">
        <v>541</v>
      </c>
      <c r="D10" s="158" t="s">
        <v>0</v>
      </c>
      <c r="E10" s="158" t="s">
        <v>125</v>
      </c>
      <c r="F10" s="158" t="s">
        <v>187</v>
      </c>
      <c r="G10" s="282" t="s">
        <v>542</v>
      </c>
      <c r="H10" s="282"/>
      <c r="I10" s="282"/>
      <c r="J10" s="282"/>
      <c r="K10" s="282"/>
      <c r="L10" s="282"/>
      <c r="M10" s="282"/>
      <c r="N10" s="282"/>
      <c r="O10" s="179" t="s">
        <v>1</v>
      </c>
      <c r="P10" s="329"/>
      <c r="Q10" s="156" t="s">
        <v>24</v>
      </c>
      <c r="R10" s="151">
        <f t="shared" si="1"/>
        <v>130</v>
      </c>
      <c r="S10" s="151">
        <v>2</v>
      </c>
      <c r="T10" s="259"/>
      <c r="V10" s="3"/>
      <c r="W10" s="105"/>
    </row>
    <row r="11" spans="1:23" ht="15" customHeight="1">
      <c r="A11" s="148"/>
      <c r="B11" s="176" t="str">
        <f t="shared" si="0"/>
        <v>83</v>
      </c>
      <c r="C11" s="153" t="s">
        <v>543</v>
      </c>
      <c r="D11" s="158" t="s">
        <v>0</v>
      </c>
      <c r="E11" s="158" t="s">
        <v>125</v>
      </c>
      <c r="F11" s="158" t="s">
        <v>187</v>
      </c>
      <c r="G11" s="282" t="s">
        <v>544</v>
      </c>
      <c r="H11" s="282"/>
      <c r="I11" s="282"/>
      <c r="J11" s="282"/>
      <c r="K11" s="282"/>
      <c r="L11" s="282"/>
      <c r="M11" s="282"/>
      <c r="N11" s="282"/>
      <c r="O11" s="179" t="s">
        <v>1</v>
      </c>
      <c r="P11" s="329"/>
      <c r="Q11" s="156" t="s">
        <v>24</v>
      </c>
      <c r="R11" s="151">
        <f t="shared" si="1"/>
        <v>131</v>
      </c>
      <c r="S11" s="151">
        <v>3</v>
      </c>
      <c r="T11" s="259"/>
      <c r="U11" s="106"/>
      <c r="V11" s="106"/>
      <c r="W11" s="106"/>
    </row>
    <row r="12" spans="1:23" ht="15" customHeight="1">
      <c r="A12" s="148"/>
      <c r="B12" s="176" t="str">
        <f t="shared" si="0"/>
        <v>84</v>
      </c>
      <c r="C12" s="280" t="s">
        <v>471</v>
      </c>
      <c r="D12" s="154" t="s">
        <v>0</v>
      </c>
      <c r="E12" s="154" t="s">
        <v>125</v>
      </c>
      <c r="F12" s="190" t="s">
        <v>187</v>
      </c>
      <c r="G12" s="330" t="s">
        <v>472</v>
      </c>
      <c r="H12" s="331"/>
      <c r="I12" s="331"/>
      <c r="J12" s="331"/>
      <c r="K12" s="331"/>
      <c r="L12" s="331"/>
      <c r="M12" s="331"/>
      <c r="N12" s="332"/>
      <c r="O12" s="179" t="s">
        <v>1</v>
      </c>
      <c r="P12" s="329"/>
      <c r="Q12" s="156" t="s">
        <v>217</v>
      </c>
      <c r="R12" s="151">
        <f t="shared" si="1"/>
        <v>132</v>
      </c>
      <c r="S12" s="151">
        <v>4</v>
      </c>
      <c r="T12" s="259"/>
      <c r="U12" s="105"/>
      <c r="V12" s="106"/>
      <c r="W12" s="106"/>
    </row>
    <row r="13" spans="1:23" ht="15" customHeight="1">
      <c r="A13" s="148"/>
      <c r="B13" s="176" t="str">
        <f t="shared" si="0"/>
        <v>85</v>
      </c>
      <c r="C13" s="280"/>
      <c r="D13" s="154" t="s">
        <v>0</v>
      </c>
      <c r="E13" s="154" t="s">
        <v>125</v>
      </c>
      <c r="F13" s="190" t="s">
        <v>187</v>
      </c>
      <c r="G13" s="280" t="s">
        <v>473</v>
      </c>
      <c r="H13" s="280"/>
      <c r="I13" s="280"/>
      <c r="J13" s="280"/>
      <c r="K13" s="280"/>
      <c r="L13" s="280"/>
      <c r="M13" s="321"/>
      <c r="N13" s="321"/>
      <c r="O13" s="179" t="s">
        <v>1</v>
      </c>
      <c r="P13" s="329"/>
      <c r="Q13" s="156" t="s">
        <v>217</v>
      </c>
      <c r="R13" s="151">
        <f t="shared" si="1"/>
        <v>133</v>
      </c>
      <c r="S13" s="151">
        <v>5</v>
      </c>
      <c r="T13" s="259"/>
      <c r="U13" s="106"/>
      <c r="V13" s="106"/>
      <c r="W13" s="106"/>
    </row>
    <row r="14" spans="1:23" ht="15" customHeight="1">
      <c r="A14" s="148"/>
      <c r="B14" s="176" t="str">
        <f t="shared" si="0"/>
        <v>86</v>
      </c>
      <c r="C14" s="146" t="s">
        <v>474</v>
      </c>
      <c r="D14" s="151" t="s">
        <v>0</v>
      </c>
      <c r="E14" s="151" t="s">
        <v>125</v>
      </c>
      <c r="F14" s="154" t="s">
        <v>187</v>
      </c>
      <c r="G14" s="282" t="s">
        <v>475</v>
      </c>
      <c r="H14" s="282"/>
      <c r="I14" s="282"/>
      <c r="J14" s="282"/>
      <c r="K14" s="282"/>
      <c r="L14" s="282"/>
      <c r="M14" s="282"/>
      <c r="N14" s="282"/>
      <c r="O14" s="179" t="s">
        <v>1</v>
      </c>
      <c r="P14" s="329"/>
      <c r="Q14" s="156" t="s">
        <v>24</v>
      </c>
      <c r="R14" s="151">
        <f t="shared" si="1"/>
        <v>134</v>
      </c>
      <c r="S14" s="151">
        <v>6</v>
      </c>
      <c r="T14" s="259"/>
    </row>
    <row r="15" spans="1:23" ht="15" customHeight="1">
      <c r="A15" s="148"/>
      <c r="B15" s="176" t="str">
        <f t="shared" si="0"/>
        <v>87</v>
      </c>
      <c r="C15" s="146" t="s">
        <v>476</v>
      </c>
      <c r="D15" s="151" t="s">
        <v>0</v>
      </c>
      <c r="E15" s="151" t="s">
        <v>125</v>
      </c>
      <c r="F15" s="154" t="s">
        <v>187</v>
      </c>
      <c r="G15" s="282" t="s">
        <v>477</v>
      </c>
      <c r="H15" s="282"/>
      <c r="I15" s="282"/>
      <c r="J15" s="282"/>
      <c r="K15" s="282"/>
      <c r="L15" s="282"/>
      <c r="M15" s="282"/>
      <c r="N15" s="282"/>
      <c r="O15" s="179" t="s">
        <v>1</v>
      </c>
      <c r="P15" s="329"/>
      <c r="Q15" s="156" t="s">
        <v>24</v>
      </c>
      <c r="R15" s="151">
        <f t="shared" si="1"/>
        <v>135</v>
      </c>
      <c r="S15" s="151">
        <v>7</v>
      </c>
      <c r="T15" s="259"/>
      <c r="U15" s="106"/>
      <c r="V15" s="106"/>
      <c r="W15" s="106"/>
    </row>
    <row r="16" spans="1:23" ht="15" customHeight="1">
      <c r="A16" s="148"/>
      <c r="B16" s="176" t="str">
        <f t="shared" si="0"/>
        <v>88</v>
      </c>
      <c r="C16" s="146" t="s">
        <v>478</v>
      </c>
      <c r="D16" s="151" t="s">
        <v>0</v>
      </c>
      <c r="E16" s="151" t="s">
        <v>125</v>
      </c>
      <c r="F16" s="154" t="s">
        <v>187</v>
      </c>
      <c r="G16" s="282" t="s">
        <v>479</v>
      </c>
      <c r="H16" s="282"/>
      <c r="I16" s="282"/>
      <c r="J16" s="282"/>
      <c r="K16" s="282"/>
      <c r="L16" s="282"/>
      <c r="M16" s="282"/>
      <c r="N16" s="282"/>
      <c r="O16" s="179" t="s">
        <v>1</v>
      </c>
      <c r="P16" s="329"/>
      <c r="Q16" s="156" t="s">
        <v>24</v>
      </c>
      <c r="R16" s="151">
        <f t="shared" si="1"/>
        <v>136</v>
      </c>
      <c r="S16" s="151">
        <v>8</v>
      </c>
      <c r="T16" s="259"/>
      <c r="U16" s="106"/>
    </row>
    <row r="17" spans="1:23" ht="15" customHeight="1">
      <c r="A17" s="148"/>
      <c r="B17" s="176" t="str">
        <f t="shared" si="0"/>
        <v>89</v>
      </c>
      <c r="C17" s="146" t="s">
        <v>480</v>
      </c>
      <c r="D17" s="151" t="s">
        <v>0</v>
      </c>
      <c r="E17" s="151" t="s">
        <v>125</v>
      </c>
      <c r="F17" s="154" t="s">
        <v>187</v>
      </c>
      <c r="G17" s="282" t="s">
        <v>481</v>
      </c>
      <c r="H17" s="282"/>
      <c r="I17" s="282"/>
      <c r="J17" s="282"/>
      <c r="K17" s="282"/>
      <c r="L17" s="282"/>
      <c r="M17" s="282"/>
      <c r="N17" s="282"/>
      <c r="O17" s="179" t="s">
        <v>1</v>
      </c>
      <c r="P17" s="329"/>
      <c r="Q17" s="156" t="s">
        <v>24</v>
      </c>
      <c r="R17" s="151">
        <f t="shared" si="1"/>
        <v>137</v>
      </c>
      <c r="S17" s="151">
        <v>9</v>
      </c>
      <c r="T17" s="259"/>
      <c r="U17" s="106"/>
      <c r="V17" s="106"/>
      <c r="W17" s="106"/>
    </row>
    <row r="18" spans="1:23" ht="15" customHeight="1">
      <c r="A18" s="148"/>
      <c r="B18" s="176" t="str">
        <f t="shared" si="0"/>
        <v>8A</v>
      </c>
      <c r="C18" s="146" t="s">
        <v>482</v>
      </c>
      <c r="D18" s="151" t="s">
        <v>0</v>
      </c>
      <c r="E18" s="151" t="s">
        <v>125</v>
      </c>
      <c r="F18" s="154" t="s">
        <v>187</v>
      </c>
      <c r="G18" s="282" t="s">
        <v>483</v>
      </c>
      <c r="H18" s="282"/>
      <c r="I18" s="282"/>
      <c r="J18" s="282"/>
      <c r="K18" s="282"/>
      <c r="L18" s="282"/>
      <c r="M18" s="282"/>
      <c r="N18" s="282"/>
      <c r="O18" s="179" t="s">
        <v>708</v>
      </c>
      <c r="P18" s="329"/>
      <c r="Q18" s="156" t="s">
        <v>24</v>
      </c>
      <c r="R18" s="151">
        <f t="shared" si="1"/>
        <v>138</v>
      </c>
      <c r="S18" s="151">
        <v>10</v>
      </c>
      <c r="T18" s="259"/>
      <c r="U18" s="106"/>
    </row>
    <row r="19" spans="1:23" ht="15" customHeight="1">
      <c r="A19" s="148"/>
      <c r="B19" s="176" t="str">
        <f t="shared" si="0"/>
        <v>8B</v>
      </c>
      <c r="C19" s="146" t="s">
        <v>484</v>
      </c>
      <c r="D19" s="151" t="s">
        <v>0</v>
      </c>
      <c r="E19" s="151" t="s">
        <v>125</v>
      </c>
      <c r="F19" s="154" t="s">
        <v>187</v>
      </c>
      <c r="G19" s="282" t="s">
        <v>485</v>
      </c>
      <c r="H19" s="282"/>
      <c r="I19" s="282"/>
      <c r="J19" s="282"/>
      <c r="K19" s="282"/>
      <c r="L19" s="282"/>
      <c r="M19" s="282"/>
      <c r="N19" s="282"/>
      <c r="O19" s="179" t="s">
        <v>1</v>
      </c>
      <c r="P19" s="329"/>
      <c r="Q19" s="156" t="s">
        <v>24</v>
      </c>
      <c r="R19" s="151">
        <f t="shared" si="1"/>
        <v>139</v>
      </c>
      <c r="S19" s="151">
        <v>11</v>
      </c>
      <c r="T19" s="259"/>
      <c r="U19" s="106"/>
    </row>
    <row r="20" spans="1:23" ht="15" customHeight="1">
      <c r="A20" s="148"/>
      <c r="B20" s="176" t="str">
        <f t="shared" si="0"/>
        <v>8C</v>
      </c>
      <c r="C20" s="146" t="s">
        <v>486</v>
      </c>
      <c r="D20" s="151" t="s">
        <v>0</v>
      </c>
      <c r="E20" s="151" t="s">
        <v>125</v>
      </c>
      <c r="F20" s="154" t="s">
        <v>187</v>
      </c>
      <c r="G20" s="282" t="s">
        <v>487</v>
      </c>
      <c r="H20" s="282"/>
      <c r="I20" s="282"/>
      <c r="J20" s="282"/>
      <c r="K20" s="282"/>
      <c r="L20" s="282"/>
      <c r="M20" s="282"/>
      <c r="N20" s="282"/>
      <c r="O20" s="179" t="s">
        <v>1</v>
      </c>
      <c r="P20" s="329"/>
      <c r="Q20" s="156" t="s">
        <v>24</v>
      </c>
      <c r="R20" s="151">
        <f t="shared" si="1"/>
        <v>140</v>
      </c>
      <c r="S20" s="151">
        <v>12</v>
      </c>
      <c r="T20" s="259"/>
      <c r="U20" s="106"/>
      <c r="V20" s="106"/>
      <c r="W20" s="106"/>
    </row>
    <row r="21" spans="1:23" ht="15" customHeight="1">
      <c r="A21" s="148"/>
      <c r="B21" s="176" t="str">
        <f t="shared" si="0"/>
        <v>8D</v>
      </c>
      <c r="C21" s="146" t="s">
        <v>488</v>
      </c>
      <c r="D21" s="151" t="s">
        <v>0</v>
      </c>
      <c r="E21" s="151" t="s">
        <v>125</v>
      </c>
      <c r="F21" s="154" t="s">
        <v>187</v>
      </c>
      <c r="G21" s="282" t="s">
        <v>489</v>
      </c>
      <c r="H21" s="282"/>
      <c r="I21" s="282"/>
      <c r="J21" s="282"/>
      <c r="K21" s="282"/>
      <c r="L21" s="282"/>
      <c r="M21" s="282"/>
      <c r="N21" s="282"/>
      <c r="O21" s="179" t="s">
        <v>1</v>
      </c>
      <c r="P21" s="329"/>
      <c r="Q21" s="156" t="s">
        <v>24</v>
      </c>
      <c r="R21" s="151">
        <f t="shared" si="1"/>
        <v>141</v>
      </c>
      <c r="S21" s="151">
        <v>13</v>
      </c>
      <c r="T21" s="259"/>
      <c r="U21" s="106"/>
      <c r="V21" s="106"/>
      <c r="W21" s="106"/>
    </row>
    <row r="22" spans="1:23" ht="15" customHeight="1">
      <c r="A22" s="148"/>
      <c r="B22" s="176" t="str">
        <f t="shared" si="0"/>
        <v>8E</v>
      </c>
      <c r="C22" s="146" t="s">
        <v>490</v>
      </c>
      <c r="D22" s="151" t="s">
        <v>0</v>
      </c>
      <c r="E22" s="151" t="s">
        <v>125</v>
      </c>
      <c r="F22" s="154" t="s">
        <v>187</v>
      </c>
      <c r="G22" s="282" t="s">
        <v>491</v>
      </c>
      <c r="H22" s="282"/>
      <c r="I22" s="282"/>
      <c r="J22" s="282"/>
      <c r="K22" s="282"/>
      <c r="L22" s="282"/>
      <c r="M22" s="282"/>
      <c r="N22" s="282"/>
      <c r="O22" s="179" t="s">
        <v>1</v>
      </c>
      <c r="P22" s="329"/>
      <c r="Q22" s="156" t="s">
        <v>24</v>
      </c>
      <c r="R22" s="151">
        <f t="shared" si="1"/>
        <v>142</v>
      </c>
      <c r="S22" s="151">
        <v>14</v>
      </c>
      <c r="T22" s="259"/>
      <c r="U22" s="106"/>
      <c r="V22" s="106"/>
      <c r="W22" s="106"/>
    </row>
    <row r="23" spans="1:23" ht="15" customHeight="1">
      <c r="A23" s="148"/>
      <c r="B23" s="176" t="str">
        <f t="shared" si="0"/>
        <v>8F</v>
      </c>
      <c r="C23" s="146" t="s">
        <v>492</v>
      </c>
      <c r="D23" s="151" t="s">
        <v>0</v>
      </c>
      <c r="E23" s="151" t="s">
        <v>125</v>
      </c>
      <c r="F23" s="154" t="s">
        <v>187</v>
      </c>
      <c r="G23" s="282" t="s">
        <v>493</v>
      </c>
      <c r="H23" s="282"/>
      <c r="I23" s="282"/>
      <c r="J23" s="282"/>
      <c r="K23" s="282"/>
      <c r="L23" s="282"/>
      <c r="M23" s="282"/>
      <c r="N23" s="282"/>
      <c r="O23" s="179" t="s">
        <v>1</v>
      </c>
      <c r="P23" s="329"/>
      <c r="Q23" s="156" t="s">
        <v>24</v>
      </c>
      <c r="R23" s="151">
        <f t="shared" si="1"/>
        <v>143</v>
      </c>
      <c r="S23" s="151">
        <v>15</v>
      </c>
      <c r="T23" s="259"/>
      <c r="U23" s="106"/>
      <c r="V23" s="106"/>
      <c r="W23" s="106"/>
    </row>
    <row r="24" spans="1:23" ht="15" customHeight="1">
      <c r="A24" s="148"/>
      <c r="B24" s="176" t="str">
        <f t="shared" si="0"/>
        <v>90</v>
      </c>
      <c r="C24" s="216" t="s">
        <v>494</v>
      </c>
      <c r="D24" s="151" t="s">
        <v>0</v>
      </c>
      <c r="E24" s="151" t="s">
        <v>125</v>
      </c>
      <c r="F24" s="154" t="s">
        <v>187</v>
      </c>
      <c r="G24" s="314" t="s">
        <v>495</v>
      </c>
      <c r="H24" s="314"/>
      <c r="I24" s="314"/>
      <c r="J24" s="314"/>
      <c r="K24" s="314"/>
      <c r="L24" s="314"/>
      <c r="M24" s="320" t="s">
        <v>496</v>
      </c>
      <c r="N24" s="320"/>
      <c r="O24" s="179" t="s">
        <v>1</v>
      </c>
      <c r="P24" s="329"/>
      <c r="Q24" s="156" t="s">
        <v>24</v>
      </c>
      <c r="R24" s="151">
        <f t="shared" si="1"/>
        <v>144</v>
      </c>
      <c r="S24" s="151">
        <v>16</v>
      </c>
      <c r="T24" s="259"/>
    </row>
    <row r="25" spans="1:23" ht="15" customHeight="1">
      <c r="A25" s="148"/>
      <c r="B25" s="176" t="str">
        <f t="shared" si="0"/>
        <v>91</v>
      </c>
      <c r="C25" s="216" t="s">
        <v>497</v>
      </c>
      <c r="D25" s="151" t="s">
        <v>0</v>
      </c>
      <c r="E25" s="151" t="s">
        <v>125</v>
      </c>
      <c r="F25" s="154" t="s">
        <v>187</v>
      </c>
      <c r="G25" s="314" t="s">
        <v>498</v>
      </c>
      <c r="H25" s="314"/>
      <c r="I25" s="314"/>
      <c r="J25" s="314"/>
      <c r="K25" s="314"/>
      <c r="L25" s="314"/>
      <c r="M25" s="320" t="s">
        <v>499</v>
      </c>
      <c r="N25" s="320"/>
      <c r="O25" s="179" t="s">
        <v>1</v>
      </c>
      <c r="P25" s="329"/>
      <c r="Q25" s="156" t="s">
        <v>24</v>
      </c>
      <c r="R25" s="151">
        <f t="shared" si="1"/>
        <v>145</v>
      </c>
      <c r="S25" s="151">
        <v>17</v>
      </c>
      <c r="T25" s="259"/>
    </row>
    <row r="26" spans="1:23" ht="15" customHeight="1">
      <c r="A26" s="148"/>
      <c r="B26" s="176" t="str">
        <f t="shared" si="0"/>
        <v>92</v>
      </c>
      <c r="C26" s="216" t="s">
        <v>500</v>
      </c>
      <c r="D26" s="151" t="s">
        <v>0</v>
      </c>
      <c r="E26" s="151" t="s">
        <v>125</v>
      </c>
      <c r="F26" s="154" t="s">
        <v>187</v>
      </c>
      <c r="G26" s="314" t="s">
        <v>501</v>
      </c>
      <c r="H26" s="314"/>
      <c r="I26" s="314"/>
      <c r="J26" s="314"/>
      <c r="K26" s="314"/>
      <c r="L26" s="314"/>
      <c r="M26" s="320" t="s">
        <v>502</v>
      </c>
      <c r="N26" s="320"/>
      <c r="O26" s="179" t="s">
        <v>1</v>
      </c>
      <c r="P26" s="329"/>
      <c r="Q26" s="156" t="s">
        <v>24</v>
      </c>
      <c r="R26" s="151">
        <f t="shared" si="1"/>
        <v>146</v>
      </c>
      <c r="S26" s="151">
        <v>18</v>
      </c>
      <c r="T26" s="262"/>
    </row>
    <row r="27" spans="1:23" ht="15" customHeight="1">
      <c r="A27" s="148"/>
      <c r="B27" s="176" t="str">
        <f t="shared" si="0"/>
        <v>93</v>
      </c>
      <c r="C27" s="216" t="s">
        <v>503</v>
      </c>
      <c r="D27" s="151" t="s">
        <v>0</v>
      </c>
      <c r="E27" s="151" t="s">
        <v>125</v>
      </c>
      <c r="F27" s="154" t="s">
        <v>187</v>
      </c>
      <c r="G27" s="320" t="s">
        <v>504</v>
      </c>
      <c r="H27" s="320"/>
      <c r="I27" s="320"/>
      <c r="J27" s="320"/>
      <c r="K27" s="320" t="s">
        <v>505</v>
      </c>
      <c r="L27" s="320"/>
      <c r="M27" s="320"/>
      <c r="N27" s="320"/>
      <c r="O27" s="179" t="s">
        <v>1</v>
      </c>
      <c r="P27" s="329"/>
      <c r="Q27" s="156" t="s">
        <v>24</v>
      </c>
      <c r="R27" s="151">
        <f t="shared" si="1"/>
        <v>147</v>
      </c>
      <c r="S27" s="151">
        <v>19</v>
      </c>
      <c r="T27" s="262"/>
      <c r="U27" s="105"/>
    </row>
    <row r="28" spans="1:23" ht="15" customHeight="1">
      <c r="A28" s="148"/>
      <c r="B28" s="176" t="str">
        <f t="shared" si="0"/>
        <v>94</v>
      </c>
      <c r="C28" s="216" t="s">
        <v>506</v>
      </c>
      <c r="D28" s="151" t="s">
        <v>0</v>
      </c>
      <c r="E28" s="151" t="s">
        <v>125</v>
      </c>
      <c r="F28" s="154" t="s">
        <v>187</v>
      </c>
      <c r="G28" s="320" t="s">
        <v>507</v>
      </c>
      <c r="H28" s="320"/>
      <c r="I28" s="320"/>
      <c r="J28" s="320"/>
      <c r="K28" s="320" t="s">
        <v>508</v>
      </c>
      <c r="L28" s="320"/>
      <c r="M28" s="320"/>
      <c r="N28" s="320"/>
      <c r="O28" s="179" t="s">
        <v>1</v>
      </c>
      <c r="P28" s="329"/>
      <c r="Q28" s="156" t="s">
        <v>24</v>
      </c>
      <c r="R28" s="151">
        <f t="shared" si="1"/>
        <v>148</v>
      </c>
      <c r="S28" s="151">
        <v>20</v>
      </c>
      <c r="T28" s="262"/>
    </row>
    <row r="29" spans="1:23" ht="15" customHeight="1">
      <c r="A29" s="148"/>
      <c r="B29" s="176" t="str">
        <f t="shared" si="0"/>
        <v>95</v>
      </c>
      <c r="C29" s="216" t="s">
        <v>509</v>
      </c>
      <c r="D29" s="151" t="s">
        <v>0</v>
      </c>
      <c r="E29" s="151" t="s">
        <v>125</v>
      </c>
      <c r="F29" s="154" t="s">
        <v>187</v>
      </c>
      <c r="G29" s="314" t="s">
        <v>510</v>
      </c>
      <c r="H29" s="314"/>
      <c r="I29" s="314"/>
      <c r="J29" s="314"/>
      <c r="K29" s="314"/>
      <c r="L29" s="314"/>
      <c r="M29" s="314"/>
      <c r="N29" s="216" t="s">
        <v>511</v>
      </c>
      <c r="O29" s="179" t="s">
        <v>1</v>
      </c>
      <c r="P29" s="329"/>
      <c r="Q29" s="156" t="s">
        <v>24</v>
      </c>
      <c r="R29" s="151">
        <f t="shared" si="1"/>
        <v>149</v>
      </c>
      <c r="S29" s="151">
        <v>21</v>
      </c>
      <c r="T29" s="262"/>
    </row>
    <row r="30" spans="1:23" ht="15" customHeight="1">
      <c r="A30" s="148"/>
      <c r="B30" s="176" t="str">
        <f t="shared" si="0"/>
        <v>96</v>
      </c>
      <c r="C30" s="216" t="s">
        <v>512</v>
      </c>
      <c r="D30" s="151" t="s">
        <v>0</v>
      </c>
      <c r="E30" s="151" t="s">
        <v>125</v>
      </c>
      <c r="F30" s="154" t="s">
        <v>187</v>
      </c>
      <c r="G30" s="320" t="s">
        <v>794</v>
      </c>
      <c r="H30" s="320"/>
      <c r="I30" s="314" t="s">
        <v>513</v>
      </c>
      <c r="J30" s="314"/>
      <c r="K30" s="314"/>
      <c r="L30" s="320" t="s">
        <v>514</v>
      </c>
      <c r="M30" s="325"/>
      <c r="N30" s="326"/>
      <c r="O30" s="179" t="s">
        <v>1</v>
      </c>
      <c r="P30" s="329"/>
      <c r="Q30" s="156" t="s">
        <v>24</v>
      </c>
      <c r="R30" s="151">
        <f t="shared" si="1"/>
        <v>150</v>
      </c>
      <c r="S30" s="151">
        <v>22</v>
      </c>
      <c r="T30" s="262"/>
    </row>
    <row r="31" spans="1:23" ht="15" customHeight="1">
      <c r="A31" s="148"/>
      <c r="B31" s="217" t="str">
        <f t="shared" si="0"/>
        <v>97</v>
      </c>
      <c r="C31" s="153" t="s">
        <v>425</v>
      </c>
      <c r="D31" s="161" t="s">
        <v>0</v>
      </c>
      <c r="E31" s="165" t="s">
        <v>125</v>
      </c>
      <c r="F31" s="165" t="s">
        <v>187</v>
      </c>
      <c r="G31" s="310" t="s">
        <v>426</v>
      </c>
      <c r="H31" s="310"/>
      <c r="I31" s="310"/>
      <c r="J31" s="310"/>
      <c r="K31" s="310"/>
      <c r="L31" s="310"/>
      <c r="M31" s="310"/>
      <c r="N31" s="310"/>
      <c r="O31" s="179" t="s">
        <v>1</v>
      </c>
      <c r="P31" s="329"/>
      <c r="Q31" s="156" t="s">
        <v>24</v>
      </c>
      <c r="R31" s="151">
        <f t="shared" si="1"/>
        <v>151</v>
      </c>
      <c r="S31" s="151">
        <v>23</v>
      </c>
      <c r="T31" s="262"/>
    </row>
    <row r="32" spans="1:23" ht="15" customHeight="1">
      <c r="A32" s="148"/>
      <c r="B32" s="176" t="str">
        <f t="shared" si="0"/>
        <v>98</v>
      </c>
      <c r="C32" s="218" t="s">
        <v>537</v>
      </c>
      <c r="D32" s="158" t="s">
        <v>0</v>
      </c>
      <c r="E32" s="158" t="s">
        <v>125</v>
      </c>
      <c r="F32" s="158" t="s">
        <v>187</v>
      </c>
      <c r="G32" s="316" t="s">
        <v>538</v>
      </c>
      <c r="H32" s="327"/>
      <c r="I32" s="327"/>
      <c r="J32" s="327"/>
      <c r="K32" s="327"/>
      <c r="L32" s="327"/>
      <c r="M32" s="327"/>
      <c r="N32" s="317"/>
      <c r="O32" s="179" t="s">
        <v>1</v>
      </c>
      <c r="P32" s="329"/>
      <c r="Q32" s="156" t="s">
        <v>24</v>
      </c>
      <c r="R32" s="151">
        <f t="shared" si="1"/>
        <v>152</v>
      </c>
      <c r="S32" s="151">
        <v>24</v>
      </c>
      <c r="T32" s="262"/>
    </row>
    <row r="33" spans="1:21" ht="15" customHeight="1">
      <c r="A33" s="148"/>
      <c r="B33" s="176" t="str">
        <f t="shared" si="0"/>
        <v>99</v>
      </c>
      <c r="C33" s="153" t="s">
        <v>539</v>
      </c>
      <c r="D33" s="158" t="s">
        <v>0</v>
      </c>
      <c r="E33" s="158" t="s">
        <v>125</v>
      </c>
      <c r="F33" s="158" t="s">
        <v>187</v>
      </c>
      <c r="G33" s="322" t="s">
        <v>540</v>
      </c>
      <c r="H33" s="323"/>
      <c r="I33" s="323"/>
      <c r="J33" s="323"/>
      <c r="K33" s="323"/>
      <c r="L33" s="323"/>
      <c r="M33" s="323"/>
      <c r="N33" s="324"/>
      <c r="O33" s="179" t="s">
        <v>1</v>
      </c>
      <c r="P33" s="329"/>
      <c r="Q33" s="156" t="s">
        <v>24</v>
      </c>
      <c r="R33" s="151">
        <f t="shared" si="1"/>
        <v>153</v>
      </c>
      <c r="S33" s="151">
        <v>25</v>
      </c>
      <c r="T33" s="262"/>
      <c r="U33" s="6"/>
    </row>
    <row r="34" spans="1:21" ht="15" customHeight="1">
      <c r="A34" s="148"/>
      <c r="B34" s="176" t="str">
        <f t="shared" si="0"/>
        <v>9A</v>
      </c>
      <c r="C34" s="218" t="s">
        <v>768</v>
      </c>
      <c r="D34" s="161" t="s">
        <v>0</v>
      </c>
      <c r="E34" s="158" t="s">
        <v>125</v>
      </c>
      <c r="F34" s="158" t="s">
        <v>187</v>
      </c>
      <c r="G34" s="316" t="s">
        <v>549</v>
      </c>
      <c r="H34" s="327"/>
      <c r="I34" s="327"/>
      <c r="J34" s="327"/>
      <c r="K34" s="327"/>
      <c r="L34" s="327"/>
      <c r="M34" s="327"/>
      <c r="N34" s="317"/>
      <c r="O34" s="179" t="s">
        <v>1</v>
      </c>
      <c r="P34" s="329"/>
      <c r="Q34" s="156" t="s">
        <v>24</v>
      </c>
      <c r="R34" s="151">
        <f t="shared" si="1"/>
        <v>154</v>
      </c>
      <c r="S34" s="151">
        <v>26</v>
      </c>
      <c r="T34" s="262"/>
    </row>
    <row r="35" spans="1:21" ht="13.5" customHeight="1">
      <c r="A35" s="148"/>
      <c r="B35" s="176" t="str">
        <f t="shared" si="0"/>
        <v>9B</v>
      </c>
      <c r="C35" s="218" t="s">
        <v>547</v>
      </c>
      <c r="D35" s="158" t="s">
        <v>0</v>
      </c>
      <c r="E35" s="158" t="s">
        <v>125</v>
      </c>
      <c r="F35" s="158" t="s">
        <v>187</v>
      </c>
      <c r="G35" s="316" t="s">
        <v>548</v>
      </c>
      <c r="H35" s="327"/>
      <c r="I35" s="327"/>
      <c r="J35" s="327"/>
      <c r="K35" s="327"/>
      <c r="L35" s="327"/>
      <c r="M35" s="327"/>
      <c r="N35" s="317"/>
      <c r="O35" s="179" t="s">
        <v>709</v>
      </c>
      <c r="P35" s="329"/>
      <c r="Q35" s="156" t="s">
        <v>24</v>
      </c>
      <c r="R35" s="151">
        <f t="shared" si="1"/>
        <v>155</v>
      </c>
      <c r="S35" s="151">
        <v>27</v>
      </c>
      <c r="T35" s="262"/>
    </row>
    <row r="36" spans="1:21" ht="15" customHeight="1">
      <c r="A36" s="148"/>
      <c r="B36" s="176" t="str">
        <f t="shared" si="0"/>
        <v>9C</v>
      </c>
      <c r="C36" s="218" t="s">
        <v>545</v>
      </c>
      <c r="D36" s="158" t="s">
        <v>0</v>
      </c>
      <c r="E36" s="158" t="s">
        <v>125</v>
      </c>
      <c r="F36" s="158" t="s">
        <v>187</v>
      </c>
      <c r="G36" s="282" t="s">
        <v>546</v>
      </c>
      <c r="H36" s="282"/>
      <c r="I36" s="282"/>
      <c r="J36" s="282"/>
      <c r="K36" s="282"/>
      <c r="L36" s="282"/>
      <c r="M36" s="282"/>
      <c r="N36" s="282"/>
      <c r="O36" s="179" t="s">
        <v>519</v>
      </c>
      <c r="P36" s="329"/>
      <c r="Q36" s="156" t="s">
        <v>24</v>
      </c>
      <c r="R36" s="151">
        <f t="shared" si="1"/>
        <v>156</v>
      </c>
      <c r="S36" s="151">
        <v>28</v>
      </c>
      <c r="T36" s="262"/>
    </row>
    <row r="37" spans="1:21" ht="15" customHeight="1">
      <c r="A37" s="148"/>
      <c r="B37" s="176" t="str">
        <f t="shared" si="0"/>
        <v>9D</v>
      </c>
      <c r="C37" s="218" t="s">
        <v>534</v>
      </c>
      <c r="D37" s="158" t="s">
        <v>0</v>
      </c>
      <c r="E37" s="158" t="s">
        <v>125</v>
      </c>
      <c r="F37" s="158" t="s">
        <v>187</v>
      </c>
      <c r="G37" s="316" t="s">
        <v>535</v>
      </c>
      <c r="H37" s="327"/>
      <c r="I37" s="327"/>
      <c r="J37" s="327"/>
      <c r="K37" s="316" t="s">
        <v>536</v>
      </c>
      <c r="L37" s="327"/>
      <c r="M37" s="327"/>
      <c r="N37" s="327"/>
      <c r="O37" s="179" t="s">
        <v>1</v>
      </c>
      <c r="P37" s="329"/>
      <c r="Q37" s="156" t="s">
        <v>24</v>
      </c>
      <c r="R37" s="151">
        <f t="shared" si="1"/>
        <v>157</v>
      </c>
      <c r="S37" s="151">
        <v>29</v>
      </c>
      <c r="T37" s="262"/>
    </row>
    <row r="38" spans="1:21" ht="15" customHeight="1">
      <c r="A38" s="148"/>
      <c r="B38" s="176" t="str">
        <f t="shared" si="0"/>
        <v>9E</v>
      </c>
      <c r="C38" s="279" t="s">
        <v>769</v>
      </c>
      <c r="D38" s="161" t="s">
        <v>0</v>
      </c>
      <c r="E38" s="158" t="s">
        <v>125</v>
      </c>
      <c r="F38" s="158" t="s">
        <v>187</v>
      </c>
      <c r="G38" s="282" t="s">
        <v>779</v>
      </c>
      <c r="H38" s="282"/>
      <c r="I38" s="282"/>
      <c r="J38" s="282"/>
      <c r="K38" s="282"/>
      <c r="L38" s="282"/>
      <c r="M38" s="282"/>
      <c r="N38" s="282"/>
      <c r="O38" s="179" t="s">
        <v>710</v>
      </c>
      <c r="P38" s="329"/>
      <c r="Q38" s="156" t="s">
        <v>24</v>
      </c>
      <c r="R38" s="151">
        <f t="shared" si="1"/>
        <v>158</v>
      </c>
      <c r="S38" s="151">
        <v>30</v>
      </c>
      <c r="T38" s="262"/>
    </row>
    <row r="39" spans="1:21" ht="15" customHeight="1">
      <c r="A39" s="148"/>
      <c r="B39" s="176" t="str">
        <f t="shared" si="0"/>
        <v>9F</v>
      </c>
      <c r="C39" s="279" t="s">
        <v>770</v>
      </c>
      <c r="D39" s="253" t="s">
        <v>0</v>
      </c>
      <c r="E39" s="252" t="s">
        <v>125</v>
      </c>
      <c r="F39" s="252" t="s">
        <v>187</v>
      </c>
      <c r="G39" s="282" t="s">
        <v>780</v>
      </c>
      <c r="H39" s="282"/>
      <c r="I39" s="282"/>
      <c r="J39" s="282"/>
      <c r="K39" s="282"/>
      <c r="L39" s="282"/>
      <c r="M39" s="282"/>
      <c r="N39" s="282"/>
      <c r="O39" s="179" t="s">
        <v>787</v>
      </c>
      <c r="P39" s="329"/>
      <c r="Q39" s="156" t="s">
        <v>24</v>
      </c>
      <c r="R39" s="151">
        <f t="shared" si="1"/>
        <v>159</v>
      </c>
      <c r="S39" s="151">
        <v>31</v>
      </c>
      <c r="T39" s="262"/>
    </row>
    <row r="40" spans="1:21" ht="15" customHeight="1">
      <c r="A40" s="148"/>
      <c r="B40" s="176" t="str">
        <f t="shared" si="0"/>
        <v>A0</v>
      </c>
      <c r="C40" s="279" t="s">
        <v>771</v>
      </c>
      <c r="D40" s="255" t="s">
        <v>0</v>
      </c>
      <c r="E40" s="255" t="s">
        <v>125</v>
      </c>
      <c r="F40" s="255" t="s">
        <v>187</v>
      </c>
      <c r="G40" s="282" t="s">
        <v>781</v>
      </c>
      <c r="H40" s="282"/>
      <c r="I40" s="282"/>
      <c r="J40" s="282"/>
      <c r="K40" s="282"/>
      <c r="L40" s="282"/>
      <c r="M40" s="282"/>
      <c r="N40" s="282"/>
      <c r="O40" s="179" t="s">
        <v>1</v>
      </c>
      <c r="P40" s="329"/>
      <c r="Q40" s="156" t="s">
        <v>24</v>
      </c>
      <c r="R40" s="151">
        <f t="shared" si="1"/>
        <v>160</v>
      </c>
      <c r="S40" s="151">
        <v>32</v>
      </c>
      <c r="T40" s="262"/>
    </row>
    <row r="41" spans="1:21" ht="15" customHeight="1">
      <c r="A41" s="148"/>
      <c r="B41" s="176" t="str">
        <f t="shared" si="0"/>
        <v>A1</v>
      </c>
      <c r="C41" s="279" t="s">
        <v>772</v>
      </c>
      <c r="D41" s="252" t="s">
        <v>0</v>
      </c>
      <c r="E41" s="252" t="s">
        <v>125</v>
      </c>
      <c r="F41" s="252" t="s">
        <v>187</v>
      </c>
      <c r="G41" s="282" t="s">
        <v>782</v>
      </c>
      <c r="H41" s="282"/>
      <c r="I41" s="282"/>
      <c r="J41" s="282"/>
      <c r="K41" s="282"/>
      <c r="L41" s="282"/>
      <c r="M41" s="282"/>
      <c r="N41" s="282"/>
      <c r="O41" s="179" t="s">
        <v>1</v>
      </c>
      <c r="P41" s="329"/>
      <c r="Q41" s="156" t="s">
        <v>24</v>
      </c>
      <c r="R41" s="151">
        <f t="shared" si="1"/>
        <v>161</v>
      </c>
      <c r="S41" s="151">
        <v>33</v>
      </c>
      <c r="T41" s="262"/>
    </row>
    <row r="42" spans="1:21" ht="15" customHeight="1">
      <c r="A42" s="148"/>
      <c r="B42" s="176" t="str">
        <f t="shared" si="0"/>
        <v>A2</v>
      </c>
      <c r="C42" s="279" t="s">
        <v>773</v>
      </c>
      <c r="D42" s="252" t="s">
        <v>0</v>
      </c>
      <c r="E42" s="252" t="s">
        <v>125</v>
      </c>
      <c r="F42" s="252" t="s">
        <v>187</v>
      </c>
      <c r="G42" s="282" t="s">
        <v>697</v>
      </c>
      <c r="H42" s="282"/>
      <c r="I42" s="282"/>
      <c r="J42" s="282"/>
      <c r="K42" s="282"/>
      <c r="L42" s="282"/>
      <c r="M42" s="282"/>
      <c r="N42" s="282"/>
      <c r="O42" s="179" t="s">
        <v>799</v>
      </c>
      <c r="P42" s="329"/>
      <c r="Q42" s="156" t="s">
        <v>24</v>
      </c>
      <c r="R42" s="151">
        <f t="shared" si="1"/>
        <v>162</v>
      </c>
      <c r="S42" s="151">
        <v>34</v>
      </c>
      <c r="T42" s="262"/>
    </row>
    <row r="43" spans="1:21" ht="15" customHeight="1">
      <c r="A43" s="148"/>
      <c r="B43" s="176" t="str">
        <f t="shared" si="0"/>
        <v>A3</v>
      </c>
      <c r="C43" s="279" t="s">
        <v>774</v>
      </c>
      <c r="D43" s="252" t="s">
        <v>0</v>
      </c>
      <c r="E43" s="252" t="s">
        <v>125</v>
      </c>
      <c r="F43" s="252" t="s">
        <v>187</v>
      </c>
      <c r="G43" s="282" t="s">
        <v>698</v>
      </c>
      <c r="H43" s="282"/>
      <c r="I43" s="282"/>
      <c r="J43" s="282"/>
      <c r="K43" s="282"/>
      <c r="L43" s="282"/>
      <c r="M43" s="282"/>
      <c r="N43" s="282"/>
      <c r="O43" s="179" t="s">
        <v>800</v>
      </c>
      <c r="P43" s="329"/>
      <c r="Q43" s="156" t="s">
        <v>24</v>
      </c>
      <c r="R43" s="151">
        <f t="shared" si="1"/>
        <v>163</v>
      </c>
      <c r="S43" s="151">
        <v>35</v>
      </c>
      <c r="T43" s="262"/>
    </row>
    <row r="44" spans="1:21" ht="15" customHeight="1">
      <c r="A44" s="148"/>
      <c r="B44" s="176" t="str">
        <f t="shared" si="0"/>
        <v>A4</v>
      </c>
      <c r="C44" s="256" t="s">
        <v>520</v>
      </c>
      <c r="D44" s="257" t="s">
        <v>0</v>
      </c>
      <c r="E44" s="257" t="s">
        <v>125</v>
      </c>
      <c r="F44" s="257" t="s">
        <v>187</v>
      </c>
      <c r="G44" s="282" t="s">
        <v>521</v>
      </c>
      <c r="H44" s="282"/>
      <c r="I44" s="282"/>
      <c r="J44" s="282"/>
      <c r="K44" s="282"/>
      <c r="L44" s="282"/>
      <c r="M44" s="282"/>
      <c r="N44" s="282"/>
      <c r="O44" s="179" t="s">
        <v>709</v>
      </c>
      <c r="P44" s="329"/>
      <c r="Q44" s="156" t="s">
        <v>24</v>
      </c>
      <c r="R44" s="151">
        <f t="shared" si="1"/>
        <v>164</v>
      </c>
      <c r="S44" s="151">
        <v>36</v>
      </c>
      <c r="T44" s="262"/>
    </row>
    <row r="45" spans="1:21" ht="15" customHeight="1">
      <c r="A45" s="148"/>
      <c r="B45" s="176" t="str">
        <f t="shared" si="0"/>
        <v>A5</v>
      </c>
      <c r="C45" s="256" t="s">
        <v>522</v>
      </c>
      <c r="D45" s="257" t="s">
        <v>0</v>
      </c>
      <c r="E45" s="257" t="s">
        <v>125</v>
      </c>
      <c r="F45" s="257" t="s">
        <v>187</v>
      </c>
      <c r="G45" s="282" t="s">
        <v>523</v>
      </c>
      <c r="H45" s="282"/>
      <c r="I45" s="282"/>
      <c r="J45" s="282"/>
      <c r="K45" s="282"/>
      <c r="L45" s="282"/>
      <c r="M45" s="282"/>
      <c r="N45" s="282"/>
      <c r="O45" s="179" t="s">
        <v>1</v>
      </c>
      <c r="P45" s="329"/>
      <c r="Q45" s="156" t="s">
        <v>24</v>
      </c>
      <c r="R45" s="151">
        <f t="shared" si="1"/>
        <v>165</v>
      </c>
      <c r="S45" s="151">
        <v>37</v>
      </c>
      <c r="T45" s="262"/>
    </row>
    <row r="46" spans="1:21" ht="15" customHeight="1">
      <c r="A46" s="148"/>
      <c r="B46" s="176" t="str">
        <f t="shared" si="0"/>
        <v>A6</v>
      </c>
      <c r="C46" s="256" t="s">
        <v>524</v>
      </c>
      <c r="D46" s="257" t="s">
        <v>0</v>
      </c>
      <c r="E46" s="257" t="s">
        <v>125</v>
      </c>
      <c r="F46" s="257" t="s">
        <v>187</v>
      </c>
      <c r="G46" s="322" t="s">
        <v>525</v>
      </c>
      <c r="H46" s="323"/>
      <c r="I46" s="323"/>
      <c r="J46" s="323"/>
      <c r="K46" s="323"/>
      <c r="L46" s="323"/>
      <c r="M46" s="323"/>
      <c r="N46" s="324"/>
      <c r="O46" s="179" t="s">
        <v>1</v>
      </c>
      <c r="P46" s="329"/>
      <c r="Q46" s="156" t="s">
        <v>24</v>
      </c>
      <c r="R46" s="151">
        <f t="shared" si="1"/>
        <v>166</v>
      </c>
      <c r="S46" s="151">
        <v>38</v>
      </c>
      <c r="T46" s="262"/>
    </row>
    <row r="47" spans="1:21" ht="15" customHeight="1">
      <c r="A47" s="148"/>
      <c r="B47" s="176" t="str">
        <f t="shared" si="0"/>
        <v>A7</v>
      </c>
      <c r="C47" s="256" t="s">
        <v>526</v>
      </c>
      <c r="D47" s="257" t="s">
        <v>0</v>
      </c>
      <c r="E47" s="257" t="s">
        <v>125</v>
      </c>
      <c r="F47" s="257" t="s">
        <v>187</v>
      </c>
      <c r="G47" s="322" t="s">
        <v>527</v>
      </c>
      <c r="H47" s="323"/>
      <c r="I47" s="323"/>
      <c r="J47" s="323"/>
      <c r="K47" s="323"/>
      <c r="L47" s="323"/>
      <c r="M47" s="323"/>
      <c r="N47" s="324"/>
      <c r="O47" s="179" t="s">
        <v>1</v>
      </c>
      <c r="P47" s="329"/>
      <c r="Q47" s="156" t="s">
        <v>24</v>
      </c>
      <c r="R47" s="151">
        <f t="shared" si="1"/>
        <v>167</v>
      </c>
      <c r="S47" s="151">
        <v>39</v>
      </c>
      <c r="T47" s="262"/>
    </row>
    <row r="48" spans="1:21" ht="15" customHeight="1">
      <c r="A48" s="148"/>
      <c r="B48" s="176" t="str">
        <f t="shared" si="0"/>
        <v>A8</v>
      </c>
      <c r="C48" s="279" t="s">
        <v>777</v>
      </c>
      <c r="D48" s="257" t="s">
        <v>0</v>
      </c>
      <c r="E48" s="257" t="s">
        <v>125</v>
      </c>
      <c r="F48" s="257" t="s">
        <v>187</v>
      </c>
      <c r="G48" s="322" t="s">
        <v>764</v>
      </c>
      <c r="H48" s="323"/>
      <c r="I48" s="323"/>
      <c r="J48" s="323"/>
      <c r="K48" s="323"/>
      <c r="L48" s="323"/>
      <c r="M48" s="323"/>
      <c r="N48" s="324"/>
      <c r="O48" s="179" t="s">
        <v>788</v>
      </c>
      <c r="P48" s="329"/>
      <c r="Q48" s="156" t="s">
        <v>24</v>
      </c>
      <c r="R48" s="151">
        <f t="shared" si="1"/>
        <v>168</v>
      </c>
      <c r="S48" s="151">
        <v>40</v>
      </c>
      <c r="T48" s="262"/>
    </row>
    <row r="49" spans="1:22" ht="15" customHeight="1">
      <c r="A49" s="148"/>
      <c r="B49" s="176" t="str">
        <f t="shared" si="0"/>
        <v>A9</v>
      </c>
      <c r="C49" s="279" t="s">
        <v>775</v>
      </c>
      <c r="D49" s="257" t="s">
        <v>0</v>
      </c>
      <c r="E49" s="257" t="s">
        <v>125</v>
      </c>
      <c r="F49" s="257" t="s">
        <v>187</v>
      </c>
      <c r="G49" s="322" t="s">
        <v>766</v>
      </c>
      <c r="H49" s="323"/>
      <c r="I49" s="323"/>
      <c r="J49" s="323"/>
      <c r="K49" s="323"/>
      <c r="L49" s="323"/>
      <c r="M49" s="323"/>
      <c r="N49" s="324"/>
      <c r="O49" s="179" t="s">
        <v>1</v>
      </c>
      <c r="P49" s="329"/>
      <c r="Q49" s="156" t="s">
        <v>24</v>
      </c>
      <c r="R49" s="151">
        <f t="shared" si="1"/>
        <v>169</v>
      </c>
      <c r="S49" s="151">
        <v>41</v>
      </c>
      <c r="T49" s="262"/>
    </row>
    <row r="50" spans="1:22" ht="15" customHeight="1">
      <c r="A50" s="148"/>
      <c r="B50" s="176" t="str">
        <f t="shared" si="0"/>
        <v>AA</v>
      </c>
      <c r="C50" s="279" t="s">
        <v>776</v>
      </c>
      <c r="D50" s="257" t="s">
        <v>0</v>
      </c>
      <c r="E50" s="257" t="s">
        <v>125</v>
      </c>
      <c r="F50" s="257" t="s">
        <v>187</v>
      </c>
      <c r="G50" s="322" t="s">
        <v>767</v>
      </c>
      <c r="H50" s="323"/>
      <c r="I50" s="323"/>
      <c r="J50" s="323"/>
      <c r="K50" s="323"/>
      <c r="L50" s="323"/>
      <c r="M50" s="323"/>
      <c r="N50" s="324"/>
      <c r="O50" s="179" t="s">
        <v>709</v>
      </c>
      <c r="P50" s="329"/>
      <c r="Q50" s="156" t="s">
        <v>24</v>
      </c>
      <c r="R50" s="151">
        <f t="shared" si="1"/>
        <v>170</v>
      </c>
      <c r="S50" s="151">
        <v>42</v>
      </c>
      <c r="T50" s="262"/>
    </row>
    <row r="51" spans="1:22" ht="15" customHeight="1">
      <c r="A51" s="148"/>
      <c r="B51" s="176" t="str">
        <f t="shared" si="0"/>
        <v>AB</v>
      </c>
      <c r="C51" s="279"/>
      <c r="D51" s="257" t="s">
        <v>0</v>
      </c>
      <c r="E51" s="257" t="s">
        <v>125</v>
      </c>
      <c r="F51" s="257" t="s">
        <v>187</v>
      </c>
      <c r="G51" s="322"/>
      <c r="H51" s="323"/>
      <c r="I51" s="323"/>
      <c r="J51" s="323"/>
      <c r="K51" s="323"/>
      <c r="L51" s="323"/>
      <c r="M51" s="323"/>
      <c r="N51" s="324"/>
      <c r="O51" s="179" t="s">
        <v>789</v>
      </c>
      <c r="P51" s="329"/>
      <c r="Q51" s="156" t="s">
        <v>24</v>
      </c>
      <c r="R51" s="151">
        <f t="shared" si="1"/>
        <v>171</v>
      </c>
      <c r="S51" s="151">
        <v>43</v>
      </c>
      <c r="T51" s="262"/>
    </row>
    <row r="52" spans="1:22" ht="15" customHeight="1">
      <c r="A52" s="148"/>
      <c r="B52" s="176" t="str">
        <f t="shared" si="0"/>
        <v>AC</v>
      </c>
      <c r="C52" s="279" t="s">
        <v>778</v>
      </c>
      <c r="D52" s="257" t="s">
        <v>0</v>
      </c>
      <c r="E52" s="257" t="s">
        <v>125</v>
      </c>
      <c r="F52" s="257" t="s">
        <v>187</v>
      </c>
      <c r="G52" s="322" t="s">
        <v>765</v>
      </c>
      <c r="H52" s="323"/>
      <c r="I52" s="323"/>
      <c r="J52" s="323"/>
      <c r="K52" s="323"/>
      <c r="L52" s="323"/>
      <c r="M52" s="323"/>
      <c r="N52" s="324"/>
      <c r="O52" s="179" t="s">
        <v>711</v>
      </c>
      <c r="P52" s="329"/>
      <c r="Q52" s="156" t="s">
        <v>24</v>
      </c>
      <c r="R52" s="151">
        <f t="shared" si="1"/>
        <v>172</v>
      </c>
      <c r="S52" s="151">
        <v>44</v>
      </c>
      <c r="T52" s="262"/>
    </row>
    <row r="53" spans="1:22" ht="15" customHeight="1">
      <c r="A53" s="148"/>
      <c r="B53" s="176" t="str">
        <f t="shared" si="0"/>
        <v>AD</v>
      </c>
      <c r="C53" s="275" t="s">
        <v>532</v>
      </c>
      <c r="D53" s="276" t="s">
        <v>0</v>
      </c>
      <c r="E53" s="276" t="s">
        <v>125</v>
      </c>
      <c r="F53" s="276" t="s">
        <v>187</v>
      </c>
      <c r="G53" s="322" t="s">
        <v>533</v>
      </c>
      <c r="H53" s="323"/>
      <c r="I53" s="323"/>
      <c r="J53" s="323"/>
      <c r="K53" s="323"/>
      <c r="L53" s="323"/>
      <c r="M53" s="323"/>
      <c r="N53" s="324"/>
      <c r="O53" s="179" t="s">
        <v>1</v>
      </c>
      <c r="P53" s="329"/>
      <c r="Q53" s="156" t="s">
        <v>24</v>
      </c>
      <c r="R53" s="151">
        <f t="shared" si="1"/>
        <v>173</v>
      </c>
      <c r="S53" s="151">
        <v>45</v>
      </c>
      <c r="T53" s="262"/>
    </row>
    <row r="54" spans="1:22" ht="15" customHeight="1">
      <c r="A54" s="148"/>
      <c r="B54" s="176" t="str">
        <f t="shared" si="0"/>
        <v>AE</v>
      </c>
      <c r="C54" s="275" t="s">
        <v>528</v>
      </c>
      <c r="D54" s="276" t="s">
        <v>0</v>
      </c>
      <c r="E54" s="276" t="s">
        <v>125</v>
      </c>
      <c r="F54" s="277" t="s">
        <v>187</v>
      </c>
      <c r="G54" s="322" t="s">
        <v>529</v>
      </c>
      <c r="H54" s="323"/>
      <c r="I54" s="323"/>
      <c r="J54" s="323"/>
      <c r="K54" s="323"/>
      <c r="L54" s="323"/>
      <c r="M54" s="323"/>
      <c r="N54" s="324"/>
      <c r="O54" s="179" t="s">
        <v>710</v>
      </c>
      <c r="P54" s="329"/>
      <c r="Q54" s="156" t="s">
        <v>24</v>
      </c>
      <c r="R54" s="151">
        <f t="shared" si="1"/>
        <v>174</v>
      </c>
      <c r="S54" s="151">
        <v>46</v>
      </c>
      <c r="T54" s="262"/>
    </row>
    <row r="55" spans="1:22" ht="15" customHeight="1">
      <c r="A55" s="148"/>
      <c r="B55" s="176" t="str">
        <f t="shared" si="0"/>
        <v>AF</v>
      </c>
      <c r="C55" s="275" t="s">
        <v>530</v>
      </c>
      <c r="D55" s="276" t="s">
        <v>0</v>
      </c>
      <c r="E55" s="276" t="s">
        <v>125</v>
      </c>
      <c r="F55" s="277" t="s">
        <v>187</v>
      </c>
      <c r="G55" s="322" t="s">
        <v>531</v>
      </c>
      <c r="H55" s="323"/>
      <c r="I55" s="323"/>
      <c r="J55" s="323"/>
      <c r="K55" s="323"/>
      <c r="L55" s="323"/>
      <c r="M55" s="323"/>
      <c r="N55" s="324"/>
      <c r="O55" s="179" t="s">
        <v>1</v>
      </c>
      <c r="P55" s="329"/>
      <c r="Q55" s="156" t="s">
        <v>24</v>
      </c>
      <c r="R55" s="151">
        <f t="shared" si="1"/>
        <v>175</v>
      </c>
      <c r="S55" s="151">
        <v>47</v>
      </c>
      <c r="T55" s="262"/>
    </row>
    <row r="56" spans="1:22" ht="15" customHeight="1">
      <c r="A56" s="148"/>
      <c r="B56" s="176" t="str">
        <f t="shared" si="0"/>
        <v>B0</v>
      </c>
      <c r="C56" s="275" t="s">
        <v>462</v>
      </c>
      <c r="D56" s="276" t="s">
        <v>0</v>
      </c>
      <c r="E56" s="276" t="s">
        <v>125</v>
      </c>
      <c r="F56" s="277" t="s">
        <v>187</v>
      </c>
      <c r="G56" s="322" t="s">
        <v>463</v>
      </c>
      <c r="H56" s="323"/>
      <c r="I56" s="323"/>
      <c r="J56" s="323"/>
      <c r="K56" s="323"/>
      <c r="L56" s="323"/>
      <c r="M56" s="323"/>
      <c r="N56" s="324"/>
      <c r="O56" s="179" t="s">
        <v>712</v>
      </c>
      <c r="P56" s="329"/>
      <c r="Q56" s="156" t="s">
        <v>24</v>
      </c>
      <c r="R56" s="151">
        <f t="shared" si="1"/>
        <v>176</v>
      </c>
      <c r="S56" s="151">
        <v>48</v>
      </c>
      <c r="T56" s="262"/>
    </row>
    <row r="57" spans="1:22">
      <c r="A57" s="148"/>
      <c r="B57" s="176" t="str">
        <f t="shared" si="0"/>
        <v>B1</v>
      </c>
      <c r="C57" s="275" t="s">
        <v>464</v>
      </c>
      <c r="D57" s="276" t="s">
        <v>0</v>
      </c>
      <c r="E57" s="276" t="s">
        <v>125</v>
      </c>
      <c r="F57" s="277" t="s">
        <v>187</v>
      </c>
      <c r="G57" s="322" t="s">
        <v>465</v>
      </c>
      <c r="H57" s="323"/>
      <c r="I57" s="323"/>
      <c r="J57" s="323"/>
      <c r="K57" s="323"/>
      <c r="L57" s="323"/>
      <c r="M57" s="323"/>
      <c r="N57" s="324"/>
      <c r="O57" s="179" t="s">
        <v>1</v>
      </c>
      <c r="P57" s="329"/>
      <c r="Q57" s="156" t="s">
        <v>24</v>
      </c>
      <c r="R57" s="151">
        <f t="shared" si="1"/>
        <v>177</v>
      </c>
      <c r="S57" s="151">
        <v>49</v>
      </c>
      <c r="T57" s="262"/>
      <c r="U57" s="106"/>
      <c r="V57" s="8"/>
    </row>
    <row r="58" spans="1:22">
      <c r="A58" s="148"/>
      <c r="B58" s="176" t="str">
        <f t="shared" si="0"/>
        <v>B2</v>
      </c>
      <c r="C58" s="275" t="s">
        <v>467</v>
      </c>
      <c r="D58" s="276" t="s">
        <v>0</v>
      </c>
      <c r="E58" s="276" t="s">
        <v>125</v>
      </c>
      <c r="F58" s="276" t="s">
        <v>187</v>
      </c>
      <c r="G58" s="322" t="s">
        <v>468</v>
      </c>
      <c r="H58" s="323"/>
      <c r="I58" s="323"/>
      <c r="J58" s="323"/>
      <c r="K58" s="323"/>
      <c r="L58" s="323"/>
      <c r="M58" s="323"/>
      <c r="N58" s="324"/>
      <c r="O58" s="179" t="s">
        <v>1</v>
      </c>
      <c r="P58" s="329"/>
      <c r="Q58" s="156" t="s">
        <v>24</v>
      </c>
      <c r="R58" s="151">
        <f t="shared" si="1"/>
        <v>178</v>
      </c>
      <c r="S58" s="151">
        <v>50</v>
      </c>
      <c r="T58" s="262"/>
      <c r="U58" s="106"/>
      <c r="V58" s="8"/>
    </row>
    <row r="59" spans="1:22">
      <c r="A59" s="148"/>
      <c r="B59" s="176" t="str">
        <f t="shared" si="0"/>
        <v>B3</v>
      </c>
      <c r="C59" s="275" t="s">
        <v>469</v>
      </c>
      <c r="D59" s="276" t="s">
        <v>0</v>
      </c>
      <c r="E59" s="276" t="s">
        <v>125</v>
      </c>
      <c r="F59" s="276" t="s">
        <v>187</v>
      </c>
      <c r="G59" s="322" t="s">
        <v>470</v>
      </c>
      <c r="H59" s="323"/>
      <c r="I59" s="323"/>
      <c r="J59" s="323"/>
      <c r="K59" s="323"/>
      <c r="L59" s="323"/>
      <c r="M59" s="323"/>
      <c r="N59" s="324"/>
      <c r="O59" s="179" t="s">
        <v>1</v>
      </c>
      <c r="P59" s="329"/>
      <c r="Q59" s="156" t="s">
        <v>24</v>
      </c>
      <c r="R59" s="151">
        <f t="shared" si="1"/>
        <v>179</v>
      </c>
      <c r="S59" s="151">
        <v>51</v>
      </c>
      <c r="T59" s="262"/>
      <c r="U59" s="106"/>
      <c r="V59" s="8"/>
    </row>
    <row r="60" spans="1:22" ht="15" customHeight="1">
      <c r="A60" s="148"/>
      <c r="B60" s="176" t="str">
        <f t="shared" si="0"/>
        <v>B4</v>
      </c>
      <c r="C60" s="275" t="s">
        <v>515</v>
      </c>
      <c r="D60" s="276" t="s">
        <v>0</v>
      </c>
      <c r="E60" s="276" t="s">
        <v>125</v>
      </c>
      <c r="F60" s="276" t="s">
        <v>187</v>
      </c>
      <c r="G60" s="322" t="s">
        <v>516</v>
      </c>
      <c r="H60" s="323"/>
      <c r="I60" s="323"/>
      <c r="J60" s="323"/>
      <c r="K60" s="323"/>
      <c r="L60" s="323"/>
      <c r="M60" s="323"/>
      <c r="N60" s="324"/>
      <c r="O60" s="179" t="s">
        <v>1</v>
      </c>
      <c r="P60" s="329"/>
      <c r="Q60" s="156" t="s">
        <v>24</v>
      </c>
      <c r="R60" s="151">
        <f t="shared" si="1"/>
        <v>180</v>
      </c>
      <c r="S60" s="151">
        <v>52</v>
      </c>
      <c r="T60" s="262"/>
      <c r="U60" s="106"/>
    </row>
    <row r="61" spans="1:22" ht="15" customHeight="1">
      <c r="A61" s="148"/>
      <c r="B61" s="176" t="str">
        <f t="shared" si="0"/>
        <v>B5</v>
      </c>
      <c r="C61" s="275" t="s">
        <v>517</v>
      </c>
      <c r="D61" s="278" t="s">
        <v>0</v>
      </c>
      <c r="E61" s="278" t="s">
        <v>125</v>
      </c>
      <c r="F61" s="278" t="s">
        <v>187</v>
      </c>
      <c r="G61" s="322" t="s">
        <v>518</v>
      </c>
      <c r="H61" s="323"/>
      <c r="I61" s="323"/>
      <c r="J61" s="323"/>
      <c r="K61" s="323"/>
      <c r="L61" s="323"/>
      <c r="M61" s="323"/>
      <c r="N61" s="324"/>
      <c r="O61" s="179" t="s">
        <v>796</v>
      </c>
      <c r="P61" s="329"/>
      <c r="Q61" s="156" t="s">
        <v>24</v>
      </c>
      <c r="R61" s="151">
        <f t="shared" si="1"/>
        <v>181</v>
      </c>
      <c r="S61" s="151">
        <v>53</v>
      </c>
      <c r="T61" s="262"/>
      <c r="U61" s="106"/>
    </row>
    <row r="62" spans="1:22">
      <c r="A62" s="148"/>
      <c r="B62" s="176" t="str">
        <f t="shared" si="0"/>
        <v>B6</v>
      </c>
      <c r="C62" s="218" t="s">
        <v>692</v>
      </c>
      <c r="D62" s="278" t="s">
        <v>0</v>
      </c>
      <c r="E62" s="278" t="s">
        <v>125</v>
      </c>
      <c r="F62" s="278" t="s">
        <v>187</v>
      </c>
      <c r="G62" s="333" t="s">
        <v>693</v>
      </c>
      <c r="H62" s="334"/>
      <c r="I62" s="334"/>
      <c r="J62" s="334"/>
      <c r="K62" s="334"/>
      <c r="L62" s="334"/>
      <c r="M62" s="334"/>
      <c r="N62" s="335"/>
      <c r="O62" s="179" t="s">
        <v>699</v>
      </c>
      <c r="P62" s="329"/>
      <c r="Q62" s="156" t="s">
        <v>24</v>
      </c>
      <c r="R62" s="151">
        <f t="shared" si="1"/>
        <v>182</v>
      </c>
      <c r="S62" s="151">
        <v>54</v>
      </c>
      <c r="T62" s="262"/>
      <c r="U62" s="106"/>
    </row>
    <row r="63" spans="1:22">
      <c r="A63" s="148"/>
      <c r="B63" s="176" t="str">
        <f t="shared" si="0"/>
        <v>B7</v>
      </c>
      <c r="C63" s="218" t="s">
        <v>550</v>
      </c>
      <c r="D63" s="278" t="s">
        <v>0</v>
      </c>
      <c r="E63" s="278" t="s">
        <v>125</v>
      </c>
      <c r="F63" s="278" t="s">
        <v>187</v>
      </c>
      <c r="G63" s="316" t="s">
        <v>551</v>
      </c>
      <c r="H63" s="327"/>
      <c r="I63" s="327"/>
      <c r="J63" s="327"/>
      <c r="K63" s="327"/>
      <c r="L63" s="327"/>
      <c r="M63" s="327"/>
      <c r="N63" s="317"/>
      <c r="O63" s="179" t="s">
        <v>1</v>
      </c>
      <c r="P63" s="329"/>
      <c r="Q63" s="156" t="s">
        <v>24</v>
      </c>
      <c r="R63" s="151">
        <f t="shared" si="1"/>
        <v>183</v>
      </c>
      <c r="S63" s="151">
        <v>55</v>
      </c>
      <c r="T63" s="262"/>
      <c r="U63" s="106"/>
    </row>
    <row r="64" spans="1:22">
      <c r="A64" s="148"/>
      <c r="B64" s="219" t="str">
        <f t="shared" si="0"/>
        <v>B8</v>
      </c>
      <c r="C64" s="220" t="s">
        <v>552</v>
      </c>
      <c r="D64" s="151" t="s">
        <v>0</v>
      </c>
      <c r="E64" s="151" t="s">
        <v>195</v>
      </c>
      <c r="F64" s="154" t="s">
        <v>553</v>
      </c>
      <c r="G64" s="328" t="s">
        <v>554</v>
      </c>
      <c r="H64" s="328"/>
      <c r="I64" s="328"/>
      <c r="J64" s="328"/>
      <c r="K64" s="328"/>
      <c r="L64" s="328"/>
      <c r="M64" s="328"/>
      <c r="N64" s="328"/>
      <c r="O64" s="221" t="s">
        <v>555</v>
      </c>
      <c r="P64" s="329"/>
      <c r="Q64" s="156" t="s">
        <v>10</v>
      </c>
      <c r="R64" s="151">
        <f t="shared" si="1"/>
        <v>184</v>
      </c>
      <c r="S64" s="151">
        <v>56</v>
      </c>
      <c r="T64" s="262"/>
      <c r="U64" s="106"/>
    </row>
    <row r="65" spans="1:21">
      <c r="A65" s="148"/>
      <c r="B65" s="176" t="s">
        <v>556</v>
      </c>
      <c r="C65" s="220" t="s">
        <v>557</v>
      </c>
      <c r="D65" s="151" t="s">
        <v>0</v>
      </c>
      <c r="E65" s="151" t="s">
        <v>195</v>
      </c>
      <c r="F65" s="154" t="s">
        <v>553</v>
      </c>
      <c r="G65" s="328" t="s">
        <v>558</v>
      </c>
      <c r="H65" s="328"/>
      <c r="I65" s="328"/>
      <c r="J65" s="328"/>
      <c r="K65" s="328"/>
      <c r="L65" s="328"/>
      <c r="M65" s="328"/>
      <c r="N65" s="328"/>
      <c r="O65" s="221" t="s">
        <v>555</v>
      </c>
      <c r="P65" s="329"/>
      <c r="Q65" s="156" t="s">
        <v>10</v>
      </c>
      <c r="R65" s="151">
        <f t="shared" si="1"/>
        <v>185</v>
      </c>
      <c r="S65" s="151">
        <v>57</v>
      </c>
      <c r="T65" s="262"/>
    </row>
    <row r="66" spans="1:21">
      <c r="A66" s="148"/>
      <c r="B66" s="176" t="str">
        <f t="shared" ref="B66:B71" si="2">DEC2HEX(R66)</f>
        <v>BA</v>
      </c>
      <c r="C66" s="220" t="s">
        <v>559</v>
      </c>
      <c r="D66" s="151" t="s">
        <v>0</v>
      </c>
      <c r="E66" s="151" t="s">
        <v>195</v>
      </c>
      <c r="F66" s="154" t="s">
        <v>553</v>
      </c>
      <c r="G66" s="328" t="s">
        <v>560</v>
      </c>
      <c r="H66" s="328"/>
      <c r="I66" s="328"/>
      <c r="J66" s="328"/>
      <c r="K66" s="328"/>
      <c r="L66" s="328"/>
      <c r="M66" s="328"/>
      <c r="N66" s="328"/>
      <c r="O66" s="221" t="s">
        <v>555</v>
      </c>
      <c r="P66" s="329"/>
      <c r="Q66" s="156" t="s">
        <v>10</v>
      </c>
      <c r="R66" s="151">
        <f t="shared" si="1"/>
        <v>186</v>
      </c>
      <c r="S66" s="151">
        <v>58</v>
      </c>
      <c r="T66" s="262"/>
    </row>
    <row r="67" spans="1:21">
      <c r="A67" s="148"/>
      <c r="B67" s="176" t="str">
        <f t="shared" si="2"/>
        <v>BB</v>
      </c>
      <c r="C67" s="220" t="s">
        <v>561</v>
      </c>
      <c r="D67" s="151" t="s">
        <v>0</v>
      </c>
      <c r="E67" s="151" t="s">
        <v>195</v>
      </c>
      <c r="F67" s="154" t="s">
        <v>553</v>
      </c>
      <c r="G67" s="328" t="s">
        <v>562</v>
      </c>
      <c r="H67" s="328"/>
      <c r="I67" s="328"/>
      <c r="J67" s="328"/>
      <c r="K67" s="328"/>
      <c r="L67" s="328"/>
      <c r="M67" s="328"/>
      <c r="N67" s="328"/>
      <c r="O67" s="221" t="s">
        <v>555</v>
      </c>
      <c r="P67" s="329"/>
      <c r="Q67" s="156" t="s">
        <v>10</v>
      </c>
      <c r="R67" s="151">
        <f t="shared" si="1"/>
        <v>187</v>
      </c>
      <c r="S67" s="151">
        <v>59</v>
      </c>
      <c r="T67" s="262"/>
      <c r="U67" s="106"/>
    </row>
    <row r="68" spans="1:21">
      <c r="A68" s="148"/>
      <c r="B68" s="176" t="str">
        <f t="shared" si="2"/>
        <v>BC</v>
      </c>
      <c r="C68" s="220" t="s">
        <v>563</v>
      </c>
      <c r="D68" s="151" t="s">
        <v>0</v>
      </c>
      <c r="E68" s="151" t="s">
        <v>195</v>
      </c>
      <c r="F68" s="154" t="s">
        <v>553</v>
      </c>
      <c r="G68" s="328" t="s">
        <v>564</v>
      </c>
      <c r="H68" s="328"/>
      <c r="I68" s="328"/>
      <c r="J68" s="328"/>
      <c r="K68" s="328"/>
      <c r="L68" s="328"/>
      <c r="M68" s="328"/>
      <c r="N68" s="328"/>
      <c r="O68" s="221" t="s">
        <v>555</v>
      </c>
      <c r="P68" s="329"/>
      <c r="Q68" s="156" t="s">
        <v>10</v>
      </c>
      <c r="R68" s="151">
        <f t="shared" si="1"/>
        <v>188</v>
      </c>
      <c r="S68" s="151">
        <v>60</v>
      </c>
      <c r="T68" s="262"/>
    </row>
    <row r="69" spans="1:21">
      <c r="A69" s="148"/>
      <c r="B69" s="176" t="str">
        <f t="shared" si="2"/>
        <v>BD</v>
      </c>
      <c r="C69" s="220" t="s">
        <v>565</v>
      </c>
      <c r="D69" s="151" t="s">
        <v>0</v>
      </c>
      <c r="E69" s="151" t="s">
        <v>195</v>
      </c>
      <c r="F69" s="154" t="s">
        <v>553</v>
      </c>
      <c r="G69" s="328" t="s">
        <v>566</v>
      </c>
      <c r="H69" s="328"/>
      <c r="I69" s="328"/>
      <c r="J69" s="328"/>
      <c r="K69" s="328"/>
      <c r="L69" s="328"/>
      <c r="M69" s="328"/>
      <c r="N69" s="328"/>
      <c r="O69" s="221" t="s">
        <v>555</v>
      </c>
      <c r="P69" s="329"/>
      <c r="Q69" s="156" t="s">
        <v>10</v>
      </c>
      <c r="R69" s="151">
        <f t="shared" si="1"/>
        <v>189</v>
      </c>
      <c r="S69" s="151">
        <v>61</v>
      </c>
      <c r="T69" s="262"/>
    </row>
    <row r="70" spans="1:21">
      <c r="A70" s="148"/>
      <c r="B70" s="176" t="str">
        <f t="shared" si="2"/>
        <v>BE</v>
      </c>
      <c r="C70" s="220" t="s">
        <v>567</v>
      </c>
      <c r="D70" s="151" t="s">
        <v>0</v>
      </c>
      <c r="E70" s="151" t="s">
        <v>195</v>
      </c>
      <c r="F70" s="154" t="s">
        <v>553</v>
      </c>
      <c r="G70" s="328" t="s">
        <v>568</v>
      </c>
      <c r="H70" s="328"/>
      <c r="I70" s="328"/>
      <c r="J70" s="328"/>
      <c r="K70" s="328"/>
      <c r="L70" s="328"/>
      <c r="M70" s="328"/>
      <c r="N70" s="328"/>
      <c r="O70" s="221" t="s">
        <v>555</v>
      </c>
      <c r="P70" s="329"/>
      <c r="Q70" s="156" t="s">
        <v>10</v>
      </c>
      <c r="R70" s="151">
        <f t="shared" si="1"/>
        <v>190</v>
      </c>
      <c r="S70" s="151">
        <v>62</v>
      </c>
      <c r="T70" s="262"/>
    </row>
    <row r="71" spans="1:21" ht="15.6" customHeight="1">
      <c r="A71" s="148"/>
      <c r="B71" s="176" t="str">
        <f t="shared" si="2"/>
        <v>BF</v>
      </c>
      <c r="C71" s="220" t="s">
        <v>569</v>
      </c>
      <c r="D71" s="151" t="s">
        <v>0</v>
      </c>
      <c r="E71" s="151" t="s">
        <v>195</v>
      </c>
      <c r="F71" s="154" t="s">
        <v>553</v>
      </c>
      <c r="G71" s="328" t="s">
        <v>570</v>
      </c>
      <c r="H71" s="328"/>
      <c r="I71" s="328"/>
      <c r="J71" s="328"/>
      <c r="K71" s="328"/>
      <c r="L71" s="328"/>
      <c r="M71" s="328"/>
      <c r="N71" s="328"/>
      <c r="O71" s="221" t="s">
        <v>555</v>
      </c>
      <c r="P71" s="151"/>
      <c r="Q71" s="156" t="s">
        <v>10</v>
      </c>
      <c r="R71" s="151">
        <f t="shared" si="1"/>
        <v>191</v>
      </c>
      <c r="S71" s="151">
        <v>63</v>
      </c>
      <c r="T71" s="262"/>
    </row>
    <row r="72" spans="1:21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262"/>
    </row>
  </sheetData>
  <mergeCells count="76">
    <mergeCell ref="G51:N51"/>
    <mergeCell ref="G62:N62"/>
    <mergeCell ref="B3:C5"/>
    <mergeCell ref="G8:N8"/>
    <mergeCell ref="G37:J37"/>
    <mergeCell ref="K37:N37"/>
    <mergeCell ref="G45:N45"/>
    <mergeCell ref="G26:L26"/>
    <mergeCell ref="M26:N26"/>
    <mergeCell ref="G27:J27"/>
    <mergeCell ref="K27:N27"/>
    <mergeCell ref="G43:N43"/>
    <mergeCell ref="G25:L25"/>
    <mergeCell ref="M25:N25"/>
    <mergeCell ref="G40:N40"/>
    <mergeCell ref="G41:N41"/>
    <mergeCell ref="G44:N44"/>
    <mergeCell ref="G9:N9"/>
    <mergeCell ref="P9:P70"/>
    <mergeCell ref="G10:N10"/>
    <mergeCell ref="G11:N11"/>
    <mergeCell ref="G12:N12"/>
    <mergeCell ref="G13:L13"/>
    <mergeCell ref="G15:N15"/>
    <mergeCell ref="G20:N20"/>
    <mergeCell ref="G50:N50"/>
    <mergeCell ref="G52:N52"/>
    <mergeCell ref="G53:N53"/>
    <mergeCell ref="G57:N57"/>
    <mergeCell ref="G31:N31"/>
    <mergeCell ref="G54:N54"/>
    <mergeCell ref="G55:N55"/>
    <mergeCell ref="G42:N42"/>
    <mergeCell ref="G70:N70"/>
    <mergeCell ref="G71:N71"/>
    <mergeCell ref="G48:N48"/>
    <mergeCell ref="G61:N61"/>
    <mergeCell ref="G63:N63"/>
    <mergeCell ref="G56:N56"/>
    <mergeCell ref="G64:N64"/>
    <mergeCell ref="G59:N59"/>
    <mergeCell ref="G58:N58"/>
    <mergeCell ref="G65:N65"/>
    <mergeCell ref="G66:N66"/>
    <mergeCell ref="G67:N67"/>
    <mergeCell ref="G68:N68"/>
    <mergeCell ref="G69:N69"/>
    <mergeCell ref="G60:N60"/>
    <mergeCell ref="G49:N49"/>
    <mergeCell ref="G28:J28"/>
    <mergeCell ref="K28:N28"/>
    <mergeCell ref="G29:M29"/>
    <mergeCell ref="G30:H30"/>
    <mergeCell ref="I30:K30"/>
    <mergeCell ref="G39:N39"/>
    <mergeCell ref="G46:N46"/>
    <mergeCell ref="G47:N47"/>
    <mergeCell ref="L30:N30"/>
    <mergeCell ref="G34:N34"/>
    <mergeCell ref="G35:N35"/>
    <mergeCell ref="G32:N32"/>
    <mergeCell ref="G33:N33"/>
    <mergeCell ref="G36:N36"/>
    <mergeCell ref="G38:N38"/>
    <mergeCell ref="C12:C13"/>
    <mergeCell ref="M13:N13"/>
    <mergeCell ref="G14:N14"/>
    <mergeCell ref="G16:N16"/>
    <mergeCell ref="G17:N17"/>
    <mergeCell ref="G18:N18"/>
    <mergeCell ref="G19:N19"/>
    <mergeCell ref="G23:N23"/>
    <mergeCell ref="G24:L24"/>
    <mergeCell ref="M24:N24"/>
    <mergeCell ref="G21:N21"/>
    <mergeCell ref="G22:N2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86"/>
  <sheetViews>
    <sheetView zoomScaleNormal="100" workbookViewId="0">
      <pane xSplit="6" ySplit="7" topLeftCell="G8" activePane="bottomRight" state="frozen"/>
      <selection pane="topRight" activeCell="E1" sqref="E1"/>
      <selection pane="bottomLeft" activeCell="A5" sqref="A5"/>
      <selection pane="bottomRight" activeCell="B3" sqref="B3:C5"/>
    </sheetView>
  </sheetViews>
  <sheetFormatPr defaultColWidth="9" defaultRowHeight="13.5"/>
  <cols>
    <col min="1" max="1" width="2.875" style="13" customWidth="1"/>
    <col min="2" max="2" width="7.625" style="13" bestFit="1" customWidth="1"/>
    <col min="3" max="3" width="17.125" style="13" customWidth="1"/>
    <col min="4" max="4" width="4.25" style="13" bestFit="1" customWidth="1"/>
    <col min="5" max="5" width="4.25" style="13" customWidth="1"/>
    <col min="6" max="6" width="4.375" style="13" customWidth="1"/>
    <col min="7" max="14" width="17.75" style="13" customWidth="1"/>
    <col min="15" max="15" width="9" style="13"/>
    <col min="16" max="16" width="0" style="13" hidden="1" customWidth="1"/>
    <col min="17" max="17" width="9" style="17"/>
    <col min="18" max="19" width="9" style="13"/>
    <col min="20" max="20" width="9" style="21"/>
    <col min="21" max="16384" width="9" style="13"/>
  </cols>
  <sheetData>
    <row r="1" spans="1:34" ht="17.25" thickBot="1">
      <c r="A1" s="148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</row>
    <row r="2" spans="1:34" ht="16.5">
      <c r="A2" s="148"/>
      <c r="B2" s="123"/>
      <c r="C2" s="123"/>
      <c r="D2" s="123"/>
      <c r="E2" s="123"/>
      <c r="F2" s="123"/>
      <c r="G2" s="135" t="s">
        <v>189</v>
      </c>
      <c r="H2" s="222" t="s">
        <v>190</v>
      </c>
      <c r="I2" s="123"/>
      <c r="J2" s="135" t="s">
        <v>125</v>
      </c>
      <c r="K2" s="222" t="s">
        <v>191</v>
      </c>
      <c r="L2" s="123"/>
      <c r="M2" s="123"/>
      <c r="N2" s="123"/>
      <c r="O2" s="123"/>
      <c r="P2" s="123"/>
      <c r="Q2" s="123"/>
      <c r="R2" s="123"/>
      <c r="S2" s="123"/>
      <c r="T2" s="123"/>
    </row>
    <row r="3" spans="1:34" ht="17.25" thickBot="1">
      <c r="A3" s="148"/>
      <c r="B3" s="296" t="s">
        <v>571</v>
      </c>
      <c r="C3" s="296"/>
      <c r="D3" s="223"/>
      <c r="E3" s="223"/>
      <c r="F3" s="223"/>
      <c r="G3" s="140" t="s">
        <v>0</v>
      </c>
      <c r="H3" s="224" t="s">
        <v>194</v>
      </c>
      <c r="I3" s="123"/>
      <c r="J3" s="142" t="s">
        <v>195</v>
      </c>
      <c r="K3" s="225" t="s">
        <v>196</v>
      </c>
      <c r="L3" s="123"/>
      <c r="M3" s="123"/>
      <c r="N3" s="123"/>
      <c r="O3" s="123"/>
      <c r="P3" s="123"/>
      <c r="Q3" s="123"/>
      <c r="R3" s="123"/>
      <c r="S3" s="123"/>
      <c r="T3" s="123"/>
    </row>
    <row r="4" spans="1:34" ht="17.25" thickBot="1">
      <c r="A4" s="148"/>
      <c r="B4" s="296"/>
      <c r="C4" s="296"/>
      <c r="D4" s="223"/>
      <c r="E4" s="223"/>
      <c r="F4" s="223"/>
      <c r="G4" s="142" t="s">
        <v>197</v>
      </c>
      <c r="H4" s="225" t="s">
        <v>198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</row>
    <row r="5" spans="1:34" ht="16.5">
      <c r="A5" s="148"/>
      <c r="B5" s="296"/>
      <c r="C5" s="296"/>
      <c r="D5" s="223"/>
      <c r="E5" s="223"/>
      <c r="F5" s="223"/>
      <c r="G5" s="147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</row>
    <row r="6" spans="1:34" ht="16.5">
      <c r="A6" s="148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</row>
    <row r="7" spans="1:34" ht="16.5" customHeight="1">
      <c r="A7" s="148"/>
      <c r="B7" s="149" t="s">
        <v>199</v>
      </c>
      <c r="C7" s="150" t="s">
        <v>200</v>
      </c>
      <c r="D7" s="149" t="s">
        <v>0</v>
      </c>
      <c r="E7" s="149" t="s">
        <v>125</v>
      </c>
      <c r="F7" s="149" t="s">
        <v>201</v>
      </c>
      <c r="G7" s="149" t="s">
        <v>202</v>
      </c>
      <c r="H7" s="149" t="s">
        <v>203</v>
      </c>
      <c r="I7" s="149" t="s">
        <v>204</v>
      </c>
      <c r="J7" s="149" t="s">
        <v>205</v>
      </c>
      <c r="K7" s="149" t="s">
        <v>206</v>
      </c>
      <c r="L7" s="149" t="s">
        <v>207</v>
      </c>
      <c r="M7" s="149" t="s">
        <v>208</v>
      </c>
      <c r="N7" s="149" t="s">
        <v>209</v>
      </c>
      <c r="O7" s="149" t="s">
        <v>210</v>
      </c>
      <c r="P7" s="149" t="s">
        <v>211</v>
      </c>
      <c r="Q7" s="149" t="s">
        <v>212</v>
      </c>
      <c r="R7" s="149" t="s">
        <v>213</v>
      </c>
      <c r="S7" s="149" t="s">
        <v>214</v>
      </c>
      <c r="T7" s="123"/>
    </row>
    <row r="8" spans="1:34" ht="27" customHeight="1">
      <c r="A8" s="148"/>
      <c r="B8" s="156" t="str">
        <f t="shared" ref="B8:B39" si="0">DEC2HEX(R8)</f>
        <v>C0</v>
      </c>
      <c r="C8" s="226" t="s">
        <v>572</v>
      </c>
      <c r="D8" s="151" t="s">
        <v>0</v>
      </c>
      <c r="E8" s="151"/>
      <c r="F8" s="156"/>
      <c r="G8" s="226" t="s">
        <v>573</v>
      </c>
      <c r="H8" s="227"/>
      <c r="I8" s="227"/>
      <c r="J8" s="228" t="s">
        <v>574</v>
      </c>
      <c r="K8" s="229" t="s">
        <v>575</v>
      </c>
      <c r="L8" s="230"/>
      <c r="M8" s="229" t="s">
        <v>576</v>
      </c>
      <c r="N8" s="229" t="s">
        <v>577</v>
      </c>
      <c r="O8" s="151" t="s">
        <v>1</v>
      </c>
      <c r="P8" s="160" t="s">
        <v>216</v>
      </c>
      <c r="Q8" s="156" t="s">
        <v>10</v>
      </c>
      <c r="R8" s="151">
        <v>192</v>
      </c>
      <c r="S8" s="151">
        <v>0</v>
      </c>
      <c r="T8" s="123"/>
    </row>
    <row r="9" spans="1:34" ht="15" customHeight="1">
      <c r="A9" s="148"/>
      <c r="B9" s="156" t="str">
        <f t="shared" si="0"/>
        <v>C1</v>
      </c>
      <c r="C9" s="226" t="s">
        <v>578</v>
      </c>
      <c r="D9" s="151" t="s">
        <v>0</v>
      </c>
      <c r="E9" s="151"/>
      <c r="F9" s="156"/>
      <c r="G9" s="156"/>
      <c r="H9" s="226" t="s">
        <v>579</v>
      </c>
      <c r="I9" s="226" t="s">
        <v>580</v>
      </c>
      <c r="J9" s="226" t="s">
        <v>581</v>
      </c>
      <c r="K9" s="226" t="s">
        <v>582</v>
      </c>
      <c r="L9" s="347" t="s">
        <v>583</v>
      </c>
      <c r="M9" s="347"/>
      <c r="N9" s="347"/>
      <c r="O9" s="151" t="s">
        <v>1</v>
      </c>
      <c r="P9" s="351" t="s">
        <v>584</v>
      </c>
      <c r="Q9" s="156" t="s">
        <v>10</v>
      </c>
      <c r="R9" s="151">
        <f t="shared" ref="R9:R72" si="1">R8+1</f>
        <v>193</v>
      </c>
      <c r="S9" s="151">
        <v>1</v>
      </c>
      <c r="T9" s="123"/>
    </row>
    <row r="10" spans="1:34" ht="15" customHeight="1">
      <c r="A10" s="148"/>
      <c r="B10" s="156" t="str">
        <f t="shared" si="0"/>
        <v>C2</v>
      </c>
      <c r="C10" s="226" t="s">
        <v>585</v>
      </c>
      <c r="D10" s="151" t="s">
        <v>0</v>
      </c>
      <c r="E10" s="165"/>
      <c r="F10" s="165"/>
      <c r="G10" s="148"/>
      <c r="H10" s="229" t="s">
        <v>586</v>
      </c>
      <c r="I10" s="347" t="s">
        <v>587</v>
      </c>
      <c r="J10" s="347"/>
      <c r="K10" s="347" t="s">
        <v>25</v>
      </c>
      <c r="L10" s="347"/>
      <c r="M10" s="347" t="s">
        <v>588</v>
      </c>
      <c r="N10" s="347"/>
      <c r="O10" s="151" t="s">
        <v>1</v>
      </c>
      <c r="P10" s="351"/>
      <c r="Q10" s="156" t="s">
        <v>10</v>
      </c>
      <c r="R10" s="151">
        <f t="shared" si="1"/>
        <v>194</v>
      </c>
      <c r="S10" s="151">
        <v>2</v>
      </c>
      <c r="T10" s="123"/>
      <c r="V10" s="3"/>
    </row>
    <row r="11" spans="1:34">
      <c r="A11" s="148"/>
      <c r="B11" s="156" t="str">
        <f t="shared" si="0"/>
        <v>C3</v>
      </c>
      <c r="C11" s="226" t="s">
        <v>589</v>
      </c>
      <c r="D11" s="156" t="s">
        <v>0</v>
      </c>
      <c r="E11" s="165"/>
      <c r="F11" s="165"/>
      <c r="G11" s="347" t="s">
        <v>590</v>
      </c>
      <c r="H11" s="347"/>
      <c r="I11" s="231" t="s">
        <v>591</v>
      </c>
      <c r="J11" s="232" t="s">
        <v>592</v>
      </c>
      <c r="K11" s="226" t="s">
        <v>593</v>
      </c>
      <c r="L11" s="233" t="s">
        <v>594</v>
      </c>
      <c r="M11" s="226" t="s">
        <v>595</v>
      </c>
      <c r="N11" s="226" t="s">
        <v>596</v>
      </c>
      <c r="O11" s="151" t="s">
        <v>1</v>
      </c>
      <c r="P11" s="351"/>
      <c r="Q11" s="156" t="s">
        <v>10</v>
      </c>
      <c r="R11" s="151">
        <f t="shared" si="1"/>
        <v>195</v>
      </c>
      <c r="S11" s="151">
        <v>3</v>
      </c>
      <c r="T11" s="198"/>
    </row>
    <row r="12" spans="1:34" ht="15" customHeight="1">
      <c r="A12" s="148"/>
      <c r="B12" s="156" t="str">
        <f t="shared" si="0"/>
        <v>C4</v>
      </c>
      <c r="C12" s="226" t="s">
        <v>597</v>
      </c>
      <c r="D12" s="156" t="s">
        <v>0</v>
      </c>
      <c r="E12" s="165"/>
      <c r="F12" s="165"/>
      <c r="G12" s="226" t="s">
        <v>598</v>
      </c>
      <c r="H12" s="151"/>
      <c r="I12" s="151"/>
      <c r="J12" s="226" t="s">
        <v>599</v>
      </c>
      <c r="K12" s="347" t="s">
        <v>600</v>
      </c>
      <c r="L12" s="347"/>
      <c r="M12" s="347"/>
      <c r="N12" s="347"/>
      <c r="O12" s="151" t="s">
        <v>1</v>
      </c>
      <c r="P12" s="351"/>
      <c r="Q12" s="156" t="s">
        <v>10</v>
      </c>
      <c r="R12" s="151">
        <f t="shared" si="1"/>
        <v>196</v>
      </c>
      <c r="S12" s="151">
        <v>4</v>
      </c>
      <c r="T12" s="123"/>
    </row>
    <row r="13" spans="1:34" ht="16.5">
      <c r="A13" s="148"/>
      <c r="B13" s="156" t="str">
        <f t="shared" si="0"/>
        <v>C5</v>
      </c>
      <c r="C13" s="226" t="s">
        <v>26</v>
      </c>
      <c r="D13" s="156" t="s">
        <v>0</v>
      </c>
      <c r="E13" s="165"/>
      <c r="F13" s="165"/>
      <c r="G13" s="234" t="s">
        <v>601</v>
      </c>
      <c r="H13" s="234" t="s">
        <v>602</v>
      </c>
      <c r="I13" s="234" t="s">
        <v>603</v>
      </c>
      <c r="J13" s="234" t="s">
        <v>604</v>
      </c>
      <c r="K13" s="234" t="s">
        <v>605</v>
      </c>
      <c r="L13" s="235" t="s">
        <v>606</v>
      </c>
      <c r="M13" s="234" t="s">
        <v>607</v>
      </c>
      <c r="N13" s="234" t="s">
        <v>608</v>
      </c>
      <c r="O13" s="151" t="s">
        <v>1</v>
      </c>
      <c r="P13" s="351"/>
      <c r="Q13" s="156" t="s">
        <v>10</v>
      </c>
      <c r="R13" s="151">
        <f t="shared" si="1"/>
        <v>197</v>
      </c>
      <c r="S13" s="151">
        <v>5</v>
      </c>
      <c r="T13" s="123"/>
    </row>
    <row r="14" spans="1:34" ht="15" customHeight="1">
      <c r="A14" s="148"/>
      <c r="B14" s="156" t="str">
        <f t="shared" si="0"/>
        <v>C6</v>
      </c>
      <c r="C14" s="226" t="s">
        <v>140</v>
      </c>
      <c r="D14" s="156" t="s">
        <v>0</v>
      </c>
      <c r="E14" s="165"/>
      <c r="F14" s="165"/>
      <c r="G14" s="236"/>
      <c r="H14" s="151"/>
      <c r="I14" s="151"/>
      <c r="J14" s="151"/>
      <c r="K14" s="165"/>
      <c r="L14" s="226" t="s">
        <v>609</v>
      </c>
      <c r="M14" s="226" t="s">
        <v>610</v>
      </c>
      <c r="N14" s="226" t="s">
        <v>611</v>
      </c>
      <c r="O14" s="151" t="s">
        <v>1</v>
      </c>
      <c r="P14" s="351"/>
      <c r="Q14" s="156" t="s">
        <v>10</v>
      </c>
      <c r="R14" s="151">
        <f t="shared" si="1"/>
        <v>198</v>
      </c>
      <c r="S14" s="151">
        <v>6</v>
      </c>
      <c r="T14" s="123"/>
      <c r="V14" s="4"/>
    </row>
    <row r="15" spans="1:34" ht="30" customHeight="1">
      <c r="A15" s="148"/>
      <c r="B15" s="156" t="str">
        <f t="shared" si="0"/>
        <v>C7</v>
      </c>
      <c r="C15" s="226" t="s">
        <v>612</v>
      </c>
      <c r="D15" s="156" t="s">
        <v>0</v>
      </c>
      <c r="E15" s="165"/>
      <c r="F15" s="165"/>
      <c r="G15" s="352" t="s">
        <v>613</v>
      </c>
      <c r="H15" s="353"/>
      <c r="I15" s="353"/>
      <c r="J15" s="353"/>
      <c r="K15" s="353"/>
      <c r="L15" s="353"/>
      <c r="M15" s="353"/>
      <c r="N15" s="354"/>
      <c r="O15" s="156" t="s">
        <v>1</v>
      </c>
      <c r="P15" s="351"/>
      <c r="Q15" s="156" t="s">
        <v>10</v>
      </c>
      <c r="R15" s="151">
        <f t="shared" si="1"/>
        <v>199</v>
      </c>
      <c r="S15" s="151">
        <v>7</v>
      </c>
      <c r="T15" s="123"/>
    </row>
    <row r="16" spans="1:34" ht="16.5">
      <c r="A16" s="148"/>
      <c r="B16" s="151" t="str">
        <f t="shared" si="0"/>
        <v>C8</v>
      </c>
      <c r="C16" s="226" t="s">
        <v>141</v>
      </c>
      <c r="D16" s="151" t="s">
        <v>0</v>
      </c>
      <c r="E16" s="165"/>
      <c r="F16" s="165"/>
      <c r="G16" s="347" t="s">
        <v>614</v>
      </c>
      <c r="H16" s="347"/>
      <c r="I16" s="347"/>
      <c r="J16" s="347"/>
      <c r="K16" s="347"/>
      <c r="L16" s="165"/>
      <c r="M16" s="165"/>
      <c r="N16" s="165"/>
      <c r="O16" s="179" t="s">
        <v>1</v>
      </c>
      <c r="P16" s="351"/>
      <c r="Q16" s="156" t="s">
        <v>10</v>
      </c>
      <c r="R16" s="151">
        <f t="shared" si="1"/>
        <v>200</v>
      </c>
      <c r="S16" s="151">
        <v>8</v>
      </c>
      <c r="T16" s="123"/>
      <c r="U16" s="104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 ht="15" customHeight="1">
      <c r="A17" s="148"/>
      <c r="B17" s="151" t="str">
        <f t="shared" si="0"/>
        <v>C9</v>
      </c>
      <c r="C17" s="226" t="s">
        <v>141</v>
      </c>
      <c r="D17" s="151" t="s">
        <v>0</v>
      </c>
      <c r="E17" s="165"/>
      <c r="F17" s="165"/>
      <c r="G17" s="348" t="s">
        <v>615</v>
      </c>
      <c r="H17" s="349"/>
      <c r="I17" s="349"/>
      <c r="J17" s="349"/>
      <c r="K17" s="349"/>
      <c r="L17" s="349"/>
      <c r="M17" s="349"/>
      <c r="N17" s="350"/>
      <c r="O17" s="151" t="s">
        <v>1</v>
      </c>
      <c r="P17" s="351"/>
      <c r="Q17" s="156" t="s">
        <v>10</v>
      </c>
      <c r="R17" s="151">
        <f t="shared" si="1"/>
        <v>201</v>
      </c>
      <c r="S17" s="151">
        <v>9</v>
      </c>
      <c r="T17" s="123"/>
      <c r="U17" s="9"/>
      <c r="V17" s="89"/>
      <c r="W17" s="90"/>
      <c r="X17" s="8"/>
      <c r="Y17" s="8"/>
      <c r="Z17" s="9"/>
      <c r="AA17" s="9"/>
      <c r="AB17" s="9"/>
      <c r="AC17" s="90"/>
      <c r="AD17" s="9"/>
      <c r="AE17" s="9"/>
      <c r="AF17" s="9"/>
      <c r="AG17" s="9"/>
      <c r="AH17" s="9"/>
    </row>
    <row r="18" spans="1:34" ht="15" customHeight="1">
      <c r="A18" s="148"/>
      <c r="B18" s="162" t="str">
        <f>DEC2HEX(R18)</f>
        <v>CA</v>
      </c>
      <c r="C18" s="226" t="s">
        <v>141</v>
      </c>
      <c r="D18" s="151" t="s">
        <v>0</v>
      </c>
      <c r="E18" s="165"/>
      <c r="F18" s="165"/>
      <c r="G18" s="344" t="s">
        <v>616</v>
      </c>
      <c r="H18" s="344"/>
      <c r="I18" s="344"/>
      <c r="J18" s="344"/>
      <c r="K18" s="344"/>
      <c r="L18" s="237"/>
      <c r="M18" s="237"/>
      <c r="N18" s="237"/>
      <c r="O18" s="162" t="s">
        <v>1</v>
      </c>
      <c r="P18" s="351"/>
      <c r="Q18" s="238" t="s">
        <v>10</v>
      </c>
      <c r="R18" s="162">
        <f>R17+1</f>
        <v>202</v>
      </c>
      <c r="S18" s="162">
        <v>10</v>
      </c>
      <c r="T18" s="123"/>
      <c r="U18" s="9"/>
      <c r="V18" s="89"/>
      <c r="W18" s="90"/>
      <c r="X18" s="8"/>
      <c r="Y18" s="8"/>
      <c r="Z18" s="90"/>
      <c r="AA18" s="90"/>
      <c r="AB18" s="90"/>
      <c r="AC18" s="90"/>
      <c r="AD18" s="9"/>
      <c r="AE18" s="9"/>
      <c r="AF18" s="90"/>
      <c r="AG18" s="90"/>
      <c r="AH18" s="9"/>
    </row>
    <row r="19" spans="1:34" ht="15" customHeight="1">
      <c r="A19" s="148"/>
      <c r="B19" s="151" t="str">
        <f t="shared" si="0"/>
        <v>CB</v>
      </c>
      <c r="C19" s="226" t="s">
        <v>617</v>
      </c>
      <c r="D19" s="156" t="s">
        <v>0</v>
      </c>
      <c r="E19" s="165"/>
      <c r="F19" s="165"/>
      <c r="G19" s="234" t="s">
        <v>618</v>
      </c>
      <c r="H19" s="239"/>
      <c r="I19" s="239"/>
      <c r="J19" s="234" t="s">
        <v>619</v>
      </c>
      <c r="K19" s="239"/>
      <c r="L19" s="234" t="s">
        <v>620</v>
      </c>
      <c r="M19" s="234" t="s">
        <v>621</v>
      </c>
      <c r="N19" s="234" t="s">
        <v>622</v>
      </c>
      <c r="O19" s="151" t="s">
        <v>1</v>
      </c>
      <c r="P19" s="351"/>
      <c r="Q19" s="156" t="s">
        <v>10</v>
      </c>
      <c r="R19" s="151">
        <f>R18+1</f>
        <v>203</v>
      </c>
      <c r="S19" s="151">
        <v>11</v>
      </c>
      <c r="T19" s="123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ht="15" customHeight="1">
      <c r="A20" s="148"/>
      <c r="B20" s="151" t="str">
        <f t="shared" si="0"/>
        <v>CC</v>
      </c>
      <c r="C20" s="240" t="s">
        <v>623</v>
      </c>
      <c r="D20" s="156" t="s">
        <v>197</v>
      </c>
      <c r="E20" s="156"/>
      <c r="F20" s="156"/>
      <c r="G20" s="342" t="s">
        <v>623</v>
      </c>
      <c r="H20" s="342"/>
      <c r="I20" s="342"/>
      <c r="J20" s="342"/>
      <c r="K20" s="342"/>
      <c r="L20" s="342"/>
      <c r="M20" s="342"/>
      <c r="N20" s="342"/>
      <c r="O20" s="156" t="s">
        <v>1</v>
      </c>
      <c r="P20" s="351"/>
      <c r="Q20" s="156" t="s">
        <v>10</v>
      </c>
      <c r="R20" s="151">
        <f t="shared" si="1"/>
        <v>204</v>
      </c>
      <c r="S20" s="151">
        <v>12</v>
      </c>
      <c r="T20" s="123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1:34" ht="15" customHeight="1">
      <c r="A21" s="148"/>
      <c r="B21" s="151" t="str">
        <f t="shared" si="0"/>
        <v>CD</v>
      </c>
      <c r="C21" s="240" t="s">
        <v>624</v>
      </c>
      <c r="D21" s="151" t="s">
        <v>0</v>
      </c>
      <c r="E21" s="151"/>
      <c r="F21" s="151"/>
      <c r="G21" s="185"/>
      <c r="H21" s="185"/>
      <c r="I21" s="185"/>
      <c r="J21" s="240" t="s">
        <v>625</v>
      </c>
      <c r="K21" s="185"/>
      <c r="L21" s="342" t="s">
        <v>626</v>
      </c>
      <c r="M21" s="342"/>
      <c r="N21" s="342"/>
      <c r="O21" s="151" t="s">
        <v>1</v>
      </c>
      <c r="P21" s="351"/>
      <c r="Q21" s="156" t="s">
        <v>10</v>
      </c>
      <c r="R21" s="151">
        <f t="shared" si="1"/>
        <v>205</v>
      </c>
      <c r="S21" s="151">
        <v>13</v>
      </c>
      <c r="T21" s="183"/>
      <c r="U21" s="9"/>
      <c r="V21" s="9"/>
      <c r="W21" s="9"/>
      <c r="X21" s="9"/>
      <c r="Y21" s="16"/>
      <c r="Z21" s="87"/>
      <c r="AA21" s="9"/>
      <c r="AB21" s="9"/>
      <c r="AC21" s="9"/>
      <c r="AD21" s="357"/>
      <c r="AE21" s="357"/>
      <c r="AF21" s="357"/>
      <c r="AG21" s="357"/>
      <c r="AH21" s="9"/>
    </row>
    <row r="22" spans="1:34" ht="15" customHeight="1">
      <c r="A22" s="148"/>
      <c r="B22" s="151" t="str">
        <f t="shared" si="0"/>
        <v>CE</v>
      </c>
      <c r="C22" s="240" t="s">
        <v>627</v>
      </c>
      <c r="D22" s="151" t="s">
        <v>0</v>
      </c>
      <c r="E22" s="151"/>
      <c r="F22" s="151"/>
      <c r="G22" s="342" t="s">
        <v>628</v>
      </c>
      <c r="H22" s="342"/>
      <c r="I22" s="342"/>
      <c r="J22" s="342"/>
      <c r="K22" s="342"/>
      <c r="L22" s="342"/>
      <c r="M22" s="342"/>
      <c r="N22" s="342"/>
      <c r="O22" s="151" t="s">
        <v>1</v>
      </c>
      <c r="P22" s="351"/>
      <c r="Q22" s="156" t="s">
        <v>10</v>
      </c>
      <c r="R22" s="151">
        <f t="shared" si="1"/>
        <v>206</v>
      </c>
      <c r="S22" s="151">
        <v>14</v>
      </c>
      <c r="T22" s="183"/>
      <c r="U22" s="9"/>
      <c r="V22" s="16"/>
      <c r="W22" s="9"/>
      <c r="X22" s="9"/>
      <c r="Y22" s="16"/>
      <c r="Z22" s="91"/>
      <c r="AA22" s="91"/>
      <c r="AB22" s="9"/>
      <c r="AC22" s="16"/>
      <c r="AD22" s="16"/>
      <c r="AE22" s="357"/>
      <c r="AF22" s="357"/>
      <c r="AG22" s="357"/>
      <c r="AH22" s="9"/>
    </row>
    <row r="23" spans="1:34" ht="15" customHeight="1">
      <c r="A23" s="148"/>
      <c r="B23" s="151" t="str">
        <f t="shared" si="0"/>
        <v>CF</v>
      </c>
      <c r="C23" s="240" t="s">
        <v>629</v>
      </c>
      <c r="D23" s="151" t="s">
        <v>0</v>
      </c>
      <c r="E23" s="151"/>
      <c r="F23" s="151"/>
      <c r="G23" s="342" t="s">
        <v>630</v>
      </c>
      <c r="H23" s="342"/>
      <c r="I23" s="342"/>
      <c r="J23" s="342"/>
      <c r="K23" s="342"/>
      <c r="L23" s="342"/>
      <c r="M23" s="342"/>
      <c r="N23" s="342"/>
      <c r="O23" s="151" t="s">
        <v>1</v>
      </c>
      <c r="P23" s="351"/>
      <c r="Q23" s="156" t="s">
        <v>10</v>
      </c>
      <c r="R23" s="151">
        <f t="shared" si="1"/>
        <v>207</v>
      </c>
      <c r="S23" s="151">
        <v>15</v>
      </c>
      <c r="T23" s="183"/>
      <c r="U23" s="9"/>
      <c r="V23" s="16"/>
      <c r="W23" s="9"/>
      <c r="X23" s="8"/>
      <c r="Y23" s="8"/>
      <c r="Z23" s="357"/>
      <c r="AA23" s="357"/>
      <c r="AB23" s="357"/>
      <c r="AC23" s="357"/>
      <c r="AD23" s="357"/>
      <c r="AE23" s="357"/>
      <c r="AF23" s="357"/>
      <c r="AG23" s="357"/>
      <c r="AH23" s="9"/>
    </row>
    <row r="24" spans="1:34" ht="15" customHeight="1">
      <c r="A24" s="148"/>
      <c r="B24" s="338" t="str">
        <f>DEC2HEX(R24)</f>
        <v>D0</v>
      </c>
      <c r="C24" s="340" t="s">
        <v>631</v>
      </c>
      <c r="D24" s="151" t="s">
        <v>321</v>
      </c>
      <c r="E24" s="151"/>
      <c r="F24" s="151"/>
      <c r="G24" s="241"/>
      <c r="H24" s="67"/>
      <c r="I24" s="241"/>
      <c r="J24" s="240" t="s">
        <v>632</v>
      </c>
      <c r="K24" s="241"/>
      <c r="L24" s="241"/>
      <c r="M24" s="241"/>
      <c r="N24" s="123"/>
      <c r="O24" s="338" t="s">
        <v>1</v>
      </c>
      <c r="P24" s="351"/>
      <c r="Q24" s="359" t="s">
        <v>10</v>
      </c>
      <c r="R24" s="338">
        <f>R23+1</f>
        <v>208</v>
      </c>
      <c r="S24" s="338">
        <v>16</v>
      </c>
      <c r="T24" s="183"/>
      <c r="U24" s="9"/>
      <c r="V24" s="16"/>
      <c r="W24" s="16"/>
      <c r="X24" s="8"/>
      <c r="Y24" s="8"/>
      <c r="Z24" s="9"/>
      <c r="AA24" s="9"/>
      <c r="AB24" s="357"/>
      <c r="AC24" s="357"/>
      <c r="AD24" s="16"/>
      <c r="AE24" s="16"/>
      <c r="AF24" s="16"/>
      <c r="AG24" s="16"/>
      <c r="AH24" s="9"/>
    </row>
    <row r="25" spans="1:34" ht="15" customHeight="1">
      <c r="A25" s="148"/>
      <c r="B25" s="339"/>
      <c r="C25" s="341"/>
      <c r="D25" s="151" t="s">
        <v>0</v>
      </c>
      <c r="E25" s="242"/>
      <c r="F25" s="242"/>
      <c r="G25" s="148"/>
      <c r="H25" s="151"/>
      <c r="I25" s="243"/>
      <c r="J25" s="148"/>
      <c r="K25" s="240" t="s">
        <v>633</v>
      </c>
      <c r="L25" s="240" t="s">
        <v>634</v>
      </c>
      <c r="M25" s="240" t="s">
        <v>635</v>
      </c>
      <c r="N25" s="240" t="s">
        <v>636</v>
      </c>
      <c r="O25" s="339"/>
      <c r="P25" s="351"/>
      <c r="Q25" s="360"/>
      <c r="R25" s="339"/>
      <c r="S25" s="339"/>
      <c r="T25" s="183"/>
      <c r="U25" s="9"/>
      <c r="V25" s="87"/>
      <c r="W25" s="16"/>
      <c r="X25" s="8"/>
      <c r="Y25" s="8"/>
      <c r="Z25" s="87"/>
      <c r="AA25" s="92"/>
      <c r="AB25" s="92"/>
      <c r="AC25" s="87"/>
      <c r="AD25" s="345"/>
      <c r="AE25" s="345"/>
      <c r="AF25" s="345"/>
      <c r="AG25" s="345"/>
      <c r="AH25" s="9"/>
    </row>
    <row r="26" spans="1:34" ht="15" customHeight="1">
      <c r="A26" s="148"/>
      <c r="B26" s="151" t="str">
        <f t="shared" si="0"/>
        <v>D1</v>
      </c>
      <c r="C26" s="240" t="s">
        <v>637</v>
      </c>
      <c r="D26" s="151" t="s">
        <v>197</v>
      </c>
      <c r="E26" s="151"/>
      <c r="F26" s="151"/>
      <c r="G26" s="185"/>
      <c r="H26" s="185"/>
      <c r="I26" s="185"/>
      <c r="J26" s="240" t="s">
        <v>638</v>
      </c>
      <c r="K26" s="240" t="s">
        <v>639</v>
      </c>
      <c r="L26" s="240" t="s">
        <v>640</v>
      </c>
      <c r="M26" s="240" t="s">
        <v>641</v>
      </c>
      <c r="N26" s="240" t="s">
        <v>642</v>
      </c>
      <c r="O26" s="151" t="s">
        <v>1</v>
      </c>
      <c r="P26" s="351"/>
      <c r="Q26" s="156" t="s">
        <v>10</v>
      </c>
      <c r="R26" s="151">
        <f>R24+1</f>
        <v>209</v>
      </c>
      <c r="S26" s="151">
        <v>17</v>
      </c>
      <c r="T26" s="183"/>
      <c r="U26" s="9"/>
      <c r="V26" s="9"/>
      <c r="W26" s="16"/>
      <c r="X26" s="8"/>
      <c r="Y26" s="8"/>
      <c r="Z26" s="87"/>
      <c r="AA26" s="92"/>
      <c r="AB26" s="92"/>
      <c r="AC26" s="87"/>
      <c r="AD26" s="86"/>
      <c r="AE26" s="86"/>
      <c r="AF26" s="86"/>
      <c r="AG26" s="86"/>
      <c r="AH26" s="9"/>
    </row>
    <row r="27" spans="1:34" ht="15" customHeight="1">
      <c r="A27" s="148"/>
      <c r="B27" s="151" t="str">
        <f t="shared" si="0"/>
        <v>D2</v>
      </c>
      <c r="C27" s="240" t="s">
        <v>643</v>
      </c>
      <c r="D27" s="151" t="s">
        <v>0</v>
      </c>
      <c r="E27" s="151"/>
      <c r="F27" s="151"/>
      <c r="G27" s="185"/>
      <c r="H27" s="185"/>
      <c r="I27" s="185"/>
      <c r="J27" s="185"/>
      <c r="K27" s="185"/>
      <c r="L27" s="344" t="s">
        <v>644</v>
      </c>
      <c r="M27" s="344"/>
      <c r="N27" s="344"/>
      <c r="O27" s="151" t="s">
        <v>1</v>
      </c>
      <c r="P27" s="351"/>
      <c r="Q27" s="156" t="s">
        <v>10</v>
      </c>
      <c r="R27" s="151">
        <f t="shared" si="1"/>
        <v>210</v>
      </c>
      <c r="S27" s="151">
        <v>18</v>
      </c>
      <c r="T27" s="183"/>
      <c r="U27" s="9"/>
      <c r="V27" s="16"/>
      <c r="W27" s="16"/>
      <c r="X27" s="8"/>
      <c r="Y27" s="8"/>
      <c r="Z27" s="8"/>
      <c r="AA27" s="8"/>
      <c r="AB27" s="8"/>
      <c r="AC27" s="8"/>
      <c r="AD27" s="8"/>
      <c r="AE27" s="16"/>
      <c r="AF27" s="16"/>
      <c r="AG27" s="16"/>
      <c r="AH27" s="9"/>
    </row>
    <row r="28" spans="1:34" ht="15" customHeight="1">
      <c r="A28" s="148"/>
      <c r="B28" s="151" t="str">
        <f t="shared" si="0"/>
        <v>D3</v>
      </c>
      <c r="C28" s="137" t="s">
        <v>645</v>
      </c>
      <c r="D28" s="151" t="s">
        <v>320</v>
      </c>
      <c r="E28" s="165"/>
      <c r="F28" s="165"/>
      <c r="G28" s="151"/>
      <c r="H28" s="151"/>
      <c r="I28" s="151"/>
      <c r="J28" s="137" t="s">
        <v>646</v>
      </c>
      <c r="K28" s="151"/>
      <c r="L28" s="151"/>
      <c r="M28" s="151"/>
      <c r="N28" s="244" t="s">
        <v>647</v>
      </c>
      <c r="O28" s="151" t="s">
        <v>1</v>
      </c>
      <c r="P28" s="351"/>
      <c r="Q28" s="156" t="s">
        <v>10</v>
      </c>
      <c r="R28" s="151">
        <f>R27+1</f>
        <v>211</v>
      </c>
      <c r="S28" s="151">
        <v>19</v>
      </c>
      <c r="T28" s="183"/>
      <c r="U28" s="9"/>
      <c r="V28" s="16"/>
      <c r="W28" s="16"/>
      <c r="X28" s="8"/>
      <c r="Y28" s="8"/>
      <c r="Z28" s="8"/>
      <c r="AA28" s="88"/>
      <c r="AB28" s="93"/>
      <c r="AC28" s="93"/>
      <c r="AD28" s="8"/>
      <c r="AE28" s="358"/>
      <c r="AF28" s="358"/>
      <c r="AG28" s="16"/>
      <c r="AH28" s="16"/>
    </row>
    <row r="29" spans="1:34" ht="15" customHeight="1">
      <c r="A29" s="148"/>
      <c r="B29" s="151" t="str">
        <f t="shared" si="0"/>
        <v>D4</v>
      </c>
      <c r="C29" s="137" t="s">
        <v>648</v>
      </c>
      <c r="D29" s="151" t="s">
        <v>189</v>
      </c>
      <c r="E29" s="165"/>
      <c r="F29" s="165"/>
      <c r="G29" s="202"/>
      <c r="H29" s="202"/>
      <c r="I29" s="137" t="s">
        <v>649</v>
      </c>
      <c r="J29" s="137" t="s">
        <v>650</v>
      </c>
      <c r="K29" s="151"/>
      <c r="L29" s="151"/>
      <c r="M29" s="137" t="s">
        <v>651</v>
      </c>
      <c r="N29" s="137" t="s">
        <v>652</v>
      </c>
      <c r="O29" s="151" t="s">
        <v>1</v>
      </c>
      <c r="P29" s="351"/>
      <c r="Q29" s="156" t="s">
        <v>10</v>
      </c>
      <c r="R29" s="151">
        <f t="shared" si="1"/>
        <v>212</v>
      </c>
      <c r="S29" s="151">
        <v>20</v>
      </c>
      <c r="T29" s="148"/>
      <c r="U29" s="9"/>
      <c r="V29" s="16"/>
      <c r="W29" s="9"/>
      <c r="X29" s="8"/>
      <c r="Y29" s="8"/>
      <c r="Z29" s="358"/>
      <c r="AA29" s="358"/>
      <c r="AB29" s="358"/>
      <c r="AC29" s="358"/>
      <c r="AD29" s="358"/>
      <c r="AE29" s="358"/>
      <c r="AF29" s="358"/>
      <c r="AG29" s="358"/>
      <c r="AH29" s="9"/>
    </row>
    <row r="30" spans="1:34" ht="15" customHeight="1">
      <c r="A30" s="148"/>
      <c r="B30" s="151" t="str">
        <f t="shared" si="0"/>
        <v>D5</v>
      </c>
      <c r="C30" s="245" t="s">
        <v>653</v>
      </c>
      <c r="D30" s="162" t="s">
        <v>0</v>
      </c>
      <c r="E30" s="151" t="s">
        <v>125</v>
      </c>
      <c r="F30" s="151" t="s">
        <v>654</v>
      </c>
      <c r="G30" s="355" t="s">
        <v>655</v>
      </c>
      <c r="H30" s="355"/>
      <c r="I30" s="355"/>
      <c r="J30" s="329" t="s">
        <v>656</v>
      </c>
      <c r="K30" s="329"/>
      <c r="L30" s="329"/>
      <c r="M30" s="329"/>
      <c r="N30" s="329"/>
      <c r="O30" s="151" t="s">
        <v>1</v>
      </c>
      <c r="P30" s="351"/>
      <c r="Q30" s="156" t="s">
        <v>10</v>
      </c>
      <c r="R30" s="151">
        <f t="shared" si="1"/>
        <v>213</v>
      </c>
      <c r="S30" s="151">
        <v>21</v>
      </c>
      <c r="T30" s="148"/>
      <c r="U30" s="9"/>
      <c r="V30" s="9"/>
      <c r="W30" s="9"/>
      <c r="X30" s="8"/>
      <c r="Y30" s="8"/>
      <c r="Z30" s="358"/>
      <c r="AA30" s="358"/>
      <c r="AB30" s="8"/>
      <c r="AC30" s="8"/>
      <c r="AD30" s="8"/>
      <c r="AE30" s="8"/>
      <c r="AF30" s="8"/>
      <c r="AG30" s="8"/>
      <c r="AH30" s="9"/>
    </row>
    <row r="31" spans="1:34">
      <c r="A31" s="148"/>
      <c r="B31" s="151" t="str">
        <f t="shared" si="0"/>
        <v>D6</v>
      </c>
      <c r="C31" s="245" t="s">
        <v>657</v>
      </c>
      <c r="D31" s="162" t="s">
        <v>0</v>
      </c>
      <c r="E31" s="151" t="s">
        <v>125</v>
      </c>
      <c r="F31" s="151" t="s">
        <v>654</v>
      </c>
      <c r="G31" s="329" t="s">
        <v>658</v>
      </c>
      <c r="H31" s="329"/>
      <c r="I31" s="329"/>
      <c r="J31" s="329"/>
      <c r="K31" s="246"/>
      <c r="L31" s="329" t="s">
        <v>659</v>
      </c>
      <c r="M31" s="329"/>
      <c r="N31" s="329"/>
      <c r="O31" s="151" t="s">
        <v>1</v>
      </c>
      <c r="P31" s="351"/>
      <c r="Q31" s="156" t="s">
        <v>10</v>
      </c>
      <c r="R31" s="151">
        <f t="shared" si="1"/>
        <v>214</v>
      </c>
      <c r="S31" s="151">
        <v>22</v>
      </c>
      <c r="T31" s="148"/>
      <c r="U31" s="104"/>
      <c r="V31" s="9"/>
      <c r="W31" s="9"/>
      <c r="X31" s="8"/>
      <c r="Y31" s="8"/>
      <c r="Z31" s="16"/>
      <c r="AA31" s="16"/>
      <c r="AB31" s="16"/>
      <c r="AC31" s="16"/>
      <c r="AD31" s="16"/>
      <c r="AE31" s="16"/>
      <c r="AF31" s="16"/>
      <c r="AG31" s="16"/>
      <c r="AH31" s="9"/>
    </row>
    <row r="32" spans="1:34" ht="15" customHeight="1">
      <c r="A32" s="148"/>
      <c r="B32" s="151" t="str">
        <f t="shared" si="0"/>
        <v>D7</v>
      </c>
      <c r="C32" s="245" t="s">
        <v>660</v>
      </c>
      <c r="D32" s="151" t="s">
        <v>0</v>
      </c>
      <c r="E32" s="151" t="s">
        <v>125</v>
      </c>
      <c r="F32" s="151" t="s">
        <v>654</v>
      </c>
      <c r="G32" s="151"/>
      <c r="H32" s="247" t="s">
        <v>661</v>
      </c>
      <c r="I32" s="356" t="s">
        <v>662</v>
      </c>
      <c r="J32" s="356"/>
      <c r="K32" s="356"/>
      <c r="L32" s="356"/>
      <c r="M32" s="356"/>
      <c r="N32" s="356"/>
      <c r="O32" s="151" t="s">
        <v>1</v>
      </c>
      <c r="P32" s="351"/>
      <c r="Q32" s="156" t="s">
        <v>10</v>
      </c>
      <c r="R32" s="151">
        <f t="shared" si="1"/>
        <v>215</v>
      </c>
      <c r="S32" s="151">
        <v>23</v>
      </c>
      <c r="T32" s="148"/>
      <c r="U32" s="9"/>
      <c r="V32" s="16"/>
      <c r="W32" s="16"/>
      <c r="X32" s="8"/>
      <c r="Y32" s="8"/>
      <c r="Z32" s="16"/>
      <c r="AA32" s="16"/>
      <c r="AB32" s="16"/>
      <c r="AC32" s="16"/>
      <c r="AD32" s="16"/>
      <c r="AE32" s="16"/>
      <c r="AF32" s="16"/>
      <c r="AG32" s="16"/>
      <c r="AH32" s="9"/>
    </row>
    <row r="33" spans="1:34" ht="15" customHeight="1">
      <c r="A33" s="148"/>
      <c r="B33" s="151" t="str">
        <f t="shared" si="0"/>
        <v>D8</v>
      </c>
      <c r="C33" s="245" t="s">
        <v>663</v>
      </c>
      <c r="D33" s="151" t="s">
        <v>0</v>
      </c>
      <c r="E33" s="151" t="s">
        <v>125</v>
      </c>
      <c r="F33" s="151" t="s">
        <v>654</v>
      </c>
      <c r="G33" s="329" t="s">
        <v>664</v>
      </c>
      <c r="H33" s="329"/>
      <c r="I33" s="329"/>
      <c r="J33" s="329"/>
      <c r="K33" s="329" t="s">
        <v>665</v>
      </c>
      <c r="L33" s="329"/>
      <c r="M33" s="329"/>
      <c r="N33" s="329"/>
      <c r="O33" s="151" t="s">
        <v>1</v>
      </c>
      <c r="P33" s="351"/>
      <c r="Q33" s="156" t="s">
        <v>10</v>
      </c>
      <c r="R33" s="151">
        <f t="shared" si="1"/>
        <v>216</v>
      </c>
      <c r="S33" s="151">
        <v>24</v>
      </c>
      <c r="T33" s="148"/>
      <c r="U33" s="9"/>
      <c r="V33" s="16"/>
      <c r="W33" s="16"/>
      <c r="X33" s="8"/>
      <c r="Y33" s="8"/>
      <c r="Z33" s="16"/>
      <c r="AA33" s="16"/>
      <c r="AB33" s="16"/>
      <c r="AC33" s="16"/>
      <c r="AD33" s="16"/>
      <c r="AE33" s="16"/>
      <c r="AF33" s="16"/>
      <c r="AG33" s="16"/>
      <c r="AH33" s="16"/>
    </row>
    <row r="34" spans="1:34" ht="15" customHeight="1">
      <c r="A34" s="148"/>
      <c r="B34" s="151" t="str">
        <f t="shared" si="0"/>
        <v>D9</v>
      </c>
      <c r="C34" s="245" t="s">
        <v>666</v>
      </c>
      <c r="D34" s="151" t="s">
        <v>0</v>
      </c>
      <c r="E34" s="151" t="s">
        <v>125</v>
      </c>
      <c r="F34" s="151" t="s">
        <v>654</v>
      </c>
      <c r="G34" s="329" t="s">
        <v>667</v>
      </c>
      <c r="H34" s="329"/>
      <c r="I34" s="329"/>
      <c r="J34" s="329"/>
      <c r="K34" s="329" t="s">
        <v>668</v>
      </c>
      <c r="L34" s="329"/>
      <c r="M34" s="329"/>
      <c r="N34" s="329"/>
      <c r="O34" s="154" t="s">
        <v>1</v>
      </c>
      <c r="P34" s="351"/>
      <c r="Q34" s="156" t="s">
        <v>10</v>
      </c>
      <c r="R34" s="151">
        <f t="shared" si="1"/>
        <v>217</v>
      </c>
      <c r="S34" s="151">
        <v>25</v>
      </c>
      <c r="T34" s="148"/>
      <c r="U34" s="9"/>
      <c r="V34" s="16"/>
      <c r="W34" s="9"/>
      <c r="X34" s="8"/>
      <c r="Y34" s="8"/>
      <c r="Z34" s="357"/>
      <c r="AA34" s="357"/>
      <c r="AB34" s="357"/>
      <c r="AC34" s="357"/>
      <c r="AD34" s="357"/>
      <c r="AE34" s="357"/>
      <c r="AF34" s="357"/>
      <c r="AG34" s="357"/>
      <c r="AH34" s="9"/>
    </row>
    <row r="35" spans="1:34" ht="15" customHeight="1">
      <c r="A35" s="148"/>
      <c r="B35" s="151" t="str">
        <f t="shared" si="0"/>
        <v>DA</v>
      </c>
      <c r="C35" s="245" t="s">
        <v>669</v>
      </c>
      <c r="D35" s="151" t="s">
        <v>0</v>
      </c>
      <c r="E35" s="151" t="s">
        <v>125</v>
      </c>
      <c r="F35" s="151" t="s">
        <v>654</v>
      </c>
      <c r="G35" s="248"/>
      <c r="H35" s="148"/>
      <c r="I35" s="245" t="s">
        <v>670</v>
      </c>
      <c r="J35" s="245" t="s">
        <v>671</v>
      </c>
      <c r="K35" s="249"/>
      <c r="L35" s="165"/>
      <c r="M35" s="329" t="s">
        <v>672</v>
      </c>
      <c r="N35" s="329"/>
      <c r="O35" s="151" t="s">
        <v>1</v>
      </c>
      <c r="P35" s="351"/>
      <c r="Q35" s="156" t="s">
        <v>10</v>
      </c>
      <c r="R35" s="151">
        <f t="shared" si="1"/>
        <v>218</v>
      </c>
      <c r="S35" s="151">
        <v>26</v>
      </c>
      <c r="T35" s="148"/>
      <c r="U35" s="9"/>
      <c r="V35" s="16"/>
      <c r="W35" s="9"/>
      <c r="X35" s="8"/>
      <c r="Y35" s="8"/>
      <c r="Z35" s="16"/>
      <c r="AA35" s="357"/>
      <c r="AB35" s="357"/>
      <c r="AC35" s="357"/>
      <c r="AD35" s="357"/>
      <c r="AE35" s="357"/>
      <c r="AF35" s="357"/>
      <c r="AG35" s="16"/>
      <c r="AH35" s="9"/>
    </row>
    <row r="36" spans="1:34" ht="15" customHeight="1">
      <c r="A36" s="148"/>
      <c r="B36" s="151" t="str">
        <f t="shared" si="0"/>
        <v>DB</v>
      </c>
      <c r="C36" s="245" t="s">
        <v>673</v>
      </c>
      <c r="D36" s="151" t="s">
        <v>0</v>
      </c>
      <c r="E36" s="151" t="s">
        <v>125</v>
      </c>
      <c r="F36" s="156" t="s">
        <v>654</v>
      </c>
      <c r="G36" s="165"/>
      <c r="H36" s="165"/>
      <c r="I36" s="329" t="s">
        <v>674</v>
      </c>
      <c r="J36" s="329"/>
      <c r="K36" s="165"/>
      <c r="L36" s="165"/>
      <c r="M36" s="329" t="s">
        <v>182</v>
      </c>
      <c r="N36" s="329"/>
      <c r="O36" s="151" t="s">
        <v>1</v>
      </c>
      <c r="P36" s="351"/>
      <c r="Q36" s="156" t="s">
        <v>10</v>
      </c>
      <c r="R36" s="151">
        <f t="shared" si="1"/>
        <v>219</v>
      </c>
      <c r="S36" s="151">
        <v>27</v>
      </c>
      <c r="T36" s="148"/>
      <c r="U36" s="9"/>
      <c r="V36" s="16"/>
      <c r="W36" s="9"/>
      <c r="X36" s="8"/>
      <c r="Y36" s="8"/>
      <c r="Z36" s="16"/>
      <c r="AA36" s="16"/>
      <c r="AB36" s="16"/>
      <c r="AC36" s="16"/>
      <c r="AD36" s="16"/>
      <c r="AE36" s="16"/>
      <c r="AF36" s="16"/>
      <c r="AG36" s="16"/>
      <c r="AH36" s="9"/>
    </row>
    <row r="37" spans="1:34" ht="15" customHeight="1">
      <c r="A37" s="148"/>
      <c r="B37" s="151" t="str">
        <f t="shared" si="0"/>
        <v>DC</v>
      </c>
      <c r="C37" s="245" t="s">
        <v>675</v>
      </c>
      <c r="D37" s="151" t="s">
        <v>0</v>
      </c>
      <c r="E37" s="151" t="s">
        <v>125</v>
      </c>
      <c r="F37" s="156" t="s">
        <v>654</v>
      </c>
      <c r="G37" s="336" t="s">
        <v>676</v>
      </c>
      <c r="H37" s="336"/>
      <c r="I37" s="336"/>
      <c r="J37" s="336"/>
      <c r="K37" s="337" t="s">
        <v>677</v>
      </c>
      <c r="L37" s="337"/>
      <c r="M37" s="245" t="s">
        <v>678</v>
      </c>
      <c r="N37" s="245" t="s">
        <v>679</v>
      </c>
      <c r="O37" s="250" t="s">
        <v>680</v>
      </c>
      <c r="P37" s="351"/>
      <c r="Q37" s="156" t="s">
        <v>10</v>
      </c>
      <c r="R37" s="151">
        <f t="shared" si="1"/>
        <v>220</v>
      </c>
      <c r="S37" s="151">
        <v>28</v>
      </c>
      <c r="T37" s="148"/>
      <c r="U37" s="9"/>
      <c r="V37" s="16"/>
      <c r="W37" s="16"/>
      <c r="X37" s="8"/>
      <c r="Y37" s="8"/>
      <c r="Z37" s="16"/>
      <c r="AA37" s="16"/>
      <c r="AB37" s="16"/>
      <c r="AC37" s="16"/>
      <c r="AD37" s="16"/>
      <c r="AE37" s="16"/>
      <c r="AF37" s="16"/>
      <c r="AG37" s="16"/>
      <c r="AH37" s="9"/>
    </row>
    <row r="38" spans="1:34" ht="15" customHeight="1">
      <c r="A38" s="148"/>
      <c r="B38" s="156" t="str">
        <f t="shared" si="0"/>
        <v>DD</v>
      </c>
      <c r="C38" s="251" t="s">
        <v>681</v>
      </c>
      <c r="D38" s="151" t="s">
        <v>0</v>
      </c>
      <c r="E38" s="151" t="s">
        <v>125</v>
      </c>
      <c r="F38" s="179" t="s">
        <v>654</v>
      </c>
      <c r="G38" s="329" t="s">
        <v>682</v>
      </c>
      <c r="H38" s="329"/>
      <c r="I38" s="329"/>
      <c r="J38" s="329"/>
      <c r="K38" s="329"/>
      <c r="L38" s="329"/>
      <c r="M38" s="329"/>
      <c r="N38" s="329"/>
      <c r="O38" s="151" t="s">
        <v>1</v>
      </c>
      <c r="P38" s="351"/>
      <c r="Q38" s="156" t="s">
        <v>10</v>
      </c>
      <c r="R38" s="151">
        <f t="shared" si="1"/>
        <v>221</v>
      </c>
      <c r="S38" s="151">
        <v>29</v>
      </c>
      <c r="T38" s="148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ht="15" customHeight="1">
      <c r="A39" s="148"/>
      <c r="B39" s="151" t="str">
        <f t="shared" si="0"/>
        <v>DE</v>
      </c>
      <c r="C39" s="245" t="s">
        <v>683</v>
      </c>
      <c r="D39" s="151" t="s">
        <v>0</v>
      </c>
      <c r="E39" s="151" t="s">
        <v>125</v>
      </c>
      <c r="F39" s="156" t="s">
        <v>654</v>
      </c>
      <c r="G39" s="336" t="s">
        <v>684</v>
      </c>
      <c r="H39" s="336"/>
      <c r="I39" s="336"/>
      <c r="J39" s="336"/>
      <c r="K39" s="336"/>
      <c r="L39" s="336"/>
      <c r="M39" s="336"/>
      <c r="N39" s="336"/>
      <c r="O39" s="151" t="s">
        <v>1</v>
      </c>
      <c r="P39" s="351"/>
      <c r="Q39" s="156" t="s">
        <v>10</v>
      </c>
      <c r="R39" s="151">
        <f t="shared" si="1"/>
        <v>222</v>
      </c>
      <c r="S39" s="151">
        <v>30</v>
      </c>
      <c r="T39" s="148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 spans="1:34" ht="15" customHeight="1">
      <c r="A40" s="148"/>
      <c r="B40" s="151" t="s">
        <v>685</v>
      </c>
      <c r="C40" s="245" t="s">
        <v>686</v>
      </c>
      <c r="D40" s="151" t="s">
        <v>0</v>
      </c>
      <c r="E40" s="151" t="s">
        <v>125</v>
      </c>
      <c r="F40" s="154" t="s">
        <v>654</v>
      </c>
      <c r="G40" s="343" t="s">
        <v>687</v>
      </c>
      <c r="H40" s="343"/>
      <c r="I40" s="343"/>
      <c r="J40" s="343"/>
      <c r="K40" s="343"/>
      <c r="L40" s="343"/>
      <c r="M40" s="343"/>
      <c r="N40" s="343"/>
      <c r="O40" s="151" t="s">
        <v>1</v>
      </c>
      <c r="P40" s="351"/>
      <c r="Q40" s="156" t="s">
        <v>10</v>
      </c>
      <c r="R40" s="154">
        <f t="shared" si="1"/>
        <v>223</v>
      </c>
      <c r="S40" s="151">
        <v>31</v>
      </c>
      <c r="T40" s="148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 spans="1:34" ht="15" customHeight="1">
      <c r="A41" s="148"/>
      <c r="B41" s="151" t="str">
        <f t="shared" ref="B41:B56" si="2">DEC2HEX(R41)</f>
        <v>E0</v>
      </c>
      <c r="C41" s="273" t="s">
        <v>738</v>
      </c>
      <c r="D41" s="151" t="s">
        <v>0</v>
      </c>
      <c r="E41" s="151" t="s">
        <v>125</v>
      </c>
      <c r="F41" s="190" t="s">
        <v>688</v>
      </c>
      <c r="G41" s="282" t="s">
        <v>739</v>
      </c>
      <c r="H41" s="282"/>
      <c r="I41" s="282"/>
      <c r="J41" s="282"/>
      <c r="K41" s="282"/>
      <c r="L41" s="282"/>
      <c r="M41" s="282"/>
      <c r="N41" s="282"/>
      <c r="O41" s="151" t="s">
        <v>1</v>
      </c>
      <c r="P41" s="351"/>
      <c r="Q41" s="156" t="s">
        <v>24</v>
      </c>
      <c r="R41" s="154">
        <f t="shared" si="1"/>
        <v>224</v>
      </c>
      <c r="S41" s="151">
        <v>32</v>
      </c>
      <c r="T41" s="148"/>
    </row>
    <row r="42" spans="1:34" ht="15" customHeight="1">
      <c r="A42" s="148"/>
      <c r="B42" s="151" t="str">
        <f t="shared" si="2"/>
        <v>E1</v>
      </c>
      <c r="C42" s="273" t="s">
        <v>737</v>
      </c>
      <c r="D42" s="151" t="s">
        <v>0</v>
      </c>
      <c r="E42" s="151" t="s">
        <v>125</v>
      </c>
      <c r="F42" s="190" t="s">
        <v>688</v>
      </c>
      <c r="G42" s="282" t="s">
        <v>740</v>
      </c>
      <c r="H42" s="282"/>
      <c r="I42" s="282"/>
      <c r="J42" s="282"/>
      <c r="K42" s="282"/>
      <c r="L42" s="282"/>
      <c r="M42" s="282"/>
      <c r="N42" s="282"/>
      <c r="O42" s="151" t="s">
        <v>1</v>
      </c>
      <c r="P42" s="351"/>
      <c r="Q42" s="156" t="s">
        <v>24</v>
      </c>
      <c r="R42" s="154">
        <f t="shared" si="1"/>
        <v>225</v>
      </c>
      <c r="S42" s="151">
        <v>33</v>
      </c>
      <c r="T42" s="148"/>
    </row>
    <row r="43" spans="1:34" ht="15" customHeight="1">
      <c r="A43" s="148"/>
      <c r="B43" s="151" t="str">
        <f t="shared" si="2"/>
        <v>E2</v>
      </c>
      <c r="C43" s="273" t="s">
        <v>736</v>
      </c>
      <c r="D43" s="151" t="s">
        <v>0</v>
      </c>
      <c r="E43" s="151" t="s">
        <v>125</v>
      </c>
      <c r="F43" s="190" t="s">
        <v>688</v>
      </c>
      <c r="G43" s="282" t="s">
        <v>741</v>
      </c>
      <c r="H43" s="282"/>
      <c r="I43" s="282"/>
      <c r="J43" s="282"/>
      <c r="K43" s="282"/>
      <c r="L43" s="282"/>
      <c r="M43" s="282"/>
      <c r="N43" s="282"/>
      <c r="O43" s="151" t="s">
        <v>1</v>
      </c>
      <c r="P43" s="351"/>
      <c r="Q43" s="156" t="s">
        <v>24</v>
      </c>
      <c r="R43" s="154">
        <f t="shared" si="1"/>
        <v>226</v>
      </c>
      <c r="S43" s="151">
        <v>34</v>
      </c>
      <c r="T43" s="148"/>
    </row>
    <row r="44" spans="1:34" ht="15" customHeight="1">
      <c r="A44" s="148"/>
      <c r="B44" s="151" t="str">
        <f t="shared" si="2"/>
        <v>E3</v>
      </c>
      <c r="C44" s="273" t="s">
        <v>735</v>
      </c>
      <c r="D44" s="151" t="s">
        <v>0</v>
      </c>
      <c r="E44" s="151" t="s">
        <v>125</v>
      </c>
      <c r="F44" s="179" t="s">
        <v>688</v>
      </c>
      <c r="G44" s="282" t="s">
        <v>742</v>
      </c>
      <c r="H44" s="282"/>
      <c r="I44" s="282"/>
      <c r="J44" s="282"/>
      <c r="K44" s="282"/>
      <c r="L44" s="282"/>
      <c r="M44" s="282"/>
      <c r="N44" s="282"/>
      <c r="O44" s="151" t="s">
        <v>1</v>
      </c>
      <c r="P44" s="351"/>
      <c r="Q44" s="156" t="s">
        <v>24</v>
      </c>
      <c r="R44" s="154">
        <f t="shared" si="1"/>
        <v>227</v>
      </c>
      <c r="S44" s="151">
        <v>35</v>
      </c>
      <c r="T44" s="148"/>
    </row>
    <row r="45" spans="1:34" ht="15" customHeight="1">
      <c r="A45" s="148"/>
      <c r="B45" s="151" t="str">
        <f t="shared" si="2"/>
        <v>E4</v>
      </c>
      <c r="C45" s="273" t="s">
        <v>734</v>
      </c>
      <c r="D45" s="151" t="s">
        <v>0</v>
      </c>
      <c r="E45" s="151" t="s">
        <v>125</v>
      </c>
      <c r="F45" s="190" t="s">
        <v>688</v>
      </c>
      <c r="G45" s="282" t="s">
        <v>743</v>
      </c>
      <c r="H45" s="282"/>
      <c r="I45" s="282"/>
      <c r="J45" s="282"/>
      <c r="K45" s="282"/>
      <c r="L45" s="282"/>
      <c r="M45" s="282"/>
      <c r="N45" s="282"/>
      <c r="O45" s="151" t="s">
        <v>1</v>
      </c>
      <c r="P45" s="351"/>
      <c r="Q45" s="156" t="s">
        <v>24</v>
      </c>
      <c r="R45" s="151">
        <f t="shared" si="1"/>
        <v>228</v>
      </c>
      <c r="S45" s="151">
        <v>36</v>
      </c>
      <c r="T45" s="148"/>
    </row>
    <row r="46" spans="1:34" ht="15" customHeight="1">
      <c r="A46" s="148"/>
      <c r="B46" s="151" t="str">
        <f t="shared" si="2"/>
        <v>E5</v>
      </c>
      <c r="C46" s="273" t="s">
        <v>733</v>
      </c>
      <c r="D46" s="151" t="s">
        <v>0</v>
      </c>
      <c r="E46" s="151" t="s">
        <v>125</v>
      </c>
      <c r="F46" s="190" t="s">
        <v>688</v>
      </c>
      <c r="G46" s="282" t="s">
        <v>744</v>
      </c>
      <c r="H46" s="282"/>
      <c r="I46" s="282"/>
      <c r="J46" s="282"/>
      <c r="K46" s="282"/>
      <c r="L46" s="282"/>
      <c r="M46" s="282"/>
      <c r="N46" s="282"/>
      <c r="O46" s="151" t="s">
        <v>1</v>
      </c>
      <c r="P46" s="351"/>
      <c r="Q46" s="156" t="s">
        <v>24</v>
      </c>
      <c r="R46" s="151">
        <f t="shared" si="1"/>
        <v>229</v>
      </c>
      <c r="S46" s="151">
        <v>37</v>
      </c>
      <c r="T46" s="148"/>
    </row>
    <row r="47" spans="1:34" ht="15" customHeight="1">
      <c r="A47" s="148"/>
      <c r="B47" s="151" t="str">
        <f t="shared" si="2"/>
        <v>E6</v>
      </c>
      <c r="C47" s="273" t="s">
        <v>732</v>
      </c>
      <c r="D47" s="151" t="s">
        <v>0</v>
      </c>
      <c r="E47" s="151" t="s">
        <v>125</v>
      </c>
      <c r="F47" s="190" t="s">
        <v>688</v>
      </c>
      <c r="G47" s="282" t="s">
        <v>732</v>
      </c>
      <c r="H47" s="282"/>
      <c r="I47" s="282"/>
      <c r="J47" s="282"/>
      <c r="K47" s="282"/>
      <c r="L47" s="282"/>
      <c r="M47" s="282"/>
      <c r="N47" s="282"/>
      <c r="O47" s="151" t="s">
        <v>1</v>
      </c>
      <c r="P47" s="351"/>
      <c r="Q47" s="156" t="s">
        <v>24</v>
      </c>
      <c r="R47" s="151">
        <f t="shared" si="1"/>
        <v>230</v>
      </c>
      <c r="S47" s="151">
        <v>38</v>
      </c>
      <c r="T47" s="148"/>
    </row>
    <row r="48" spans="1:34" ht="15" customHeight="1">
      <c r="A48" s="148"/>
      <c r="B48" s="151" t="str">
        <f t="shared" si="2"/>
        <v>E7</v>
      </c>
      <c r="C48" s="273" t="s">
        <v>731</v>
      </c>
      <c r="D48" s="151" t="s">
        <v>0</v>
      </c>
      <c r="E48" s="151" t="s">
        <v>125</v>
      </c>
      <c r="F48" s="190" t="s">
        <v>688</v>
      </c>
      <c r="G48" s="282" t="s">
        <v>745</v>
      </c>
      <c r="H48" s="282"/>
      <c r="I48" s="282"/>
      <c r="J48" s="282"/>
      <c r="K48" s="282"/>
      <c r="L48" s="282"/>
      <c r="M48" s="282"/>
      <c r="N48" s="282"/>
      <c r="O48" s="151" t="s">
        <v>1</v>
      </c>
      <c r="P48" s="351"/>
      <c r="Q48" s="156" t="s">
        <v>24</v>
      </c>
      <c r="R48" s="151">
        <f t="shared" si="1"/>
        <v>231</v>
      </c>
      <c r="S48" s="151">
        <v>39</v>
      </c>
      <c r="T48" s="148"/>
    </row>
    <row r="49" spans="1:20" ht="15" customHeight="1">
      <c r="A49" s="148"/>
      <c r="B49" s="151" t="str">
        <f t="shared" si="2"/>
        <v>E8</v>
      </c>
      <c r="C49" s="273" t="s">
        <v>730</v>
      </c>
      <c r="D49" s="151" t="s">
        <v>0</v>
      </c>
      <c r="E49" s="151" t="s">
        <v>125</v>
      </c>
      <c r="F49" s="179" t="s">
        <v>688</v>
      </c>
      <c r="G49" s="282" t="s">
        <v>746</v>
      </c>
      <c r="H49" s="282"/>
      <c r="I49" s="282"/>
      <c r="J49" s="282"/>
      <c r="K49" s="282"/>
      <c r="L49" s="282"/>
      <c r="M49" s="282"/>
      <c r="N49" s="282"/>
      <c r="O49" s="151" t="s">
        <v>1</v>
      </c>
      <c r="P49" s="351"/>
      <c r="Q49" s="156" t="s">
        <v>24</v>
      </c>
      <c r="R49" s="151">
        <f t="shared" si="1"/>
        <v>232</v>
      </c>
      <c r="S49" s="151">
        <v>40</v>
      </c>
      <c r="T49" s="148"/>
    </row>
    <row r="50" spans="1:20" ht="15" customHeight="1">
      <c r="A50" s="148"/>
      <c r="B50" s="151" t="str">
        <f t="shared" si="2"/>
        <v>E9</v>
      </c>
      <c r="C50" s="272" t="s">
        <v>714</v>
      </c>
      <c r="D50" s="151" t="s">
        <v>0</v>
      </c>
      <c r="E50" s="151" t="s">
        <v>125</v>
      </c>
      <c r="F50" s="179" t="s">
        <v>688</v>
      </c>
      <c r="G50" s="282" t="s">
        <v>714</v>
      </c>
      <c r="H50" s="282"/>
      <c r="I50" s="282"/>
      <c r="J50" s="282"/>
      <c r="K50" s="282"/>
      <c r="L50" s="282"/>
      <c r="M50" s="282"/>
      <c r="N50" s="282"/>
      <c r="O50" s="151" t="s">
        <v>1</v>
      </c>
      <c r="P50" s="351"/>
      <c r="Q50" s="156" t="s">
        <v>24</v>
      </c>
      <c r="R50" s="151">
        <f t="shared" si="1"/>
        <v>233</v>
      </c>
      <c r="S50" s="151">
        <v>41</v>
      </c>
      <c r="T50" s="148"/>
    </row>
    <row r="51" spans="1:20" ht="15" customHeight="1">
      <c r="A51" s="148"/>
      <c r="B51" s="151" t="str">
        <f t="shared" si="2"/>
        <v>EA</v>
      </c>
      <c r="C51" s="272" t="s">
        <v>715</v>
      </c>
      <c r="D51" s="151" t="s">
        <v>0</v>
      </c>
      <c r="E51" s="151" t="s">
        <v>125</v>
      </c>
      <c r="F51" s="179" t="s">
        <v>688</v>
      </c>
      <c r="G51" s="282" t="s">
        <v>715</v>
      </c>
      <c r="H51" s="282"/>
      <c r="I51" s="282"/>
      <c r="J51" s="282"/>
      <c r="K51" s="282"/>
      <c r="L51" s="282"/>
      <c r="M51" s="282"/>
      <c r="N51" s="282"/>
      <c r="O51" s="151" t="s">
        <v>1</v>
      </c>
      <c r="P51" s="351"/>
      <c r="Q51" s="156" t="s">
        <v>24</v>
      </c>
      <c r="R51" s="151">
        <f t="shared" si="1"/>
        <v>234</v>
      </c>
      <c r="S51" s="151">
        <v>42</v>
      </c>
      <c r="T51" s="148"/>
    </row>
    <row r="52" spans="1:20" ht="15" customHeight="1">
      <c r="A52" s="148"/>
      <c r="B52" s="151" t="str">
        <f t="shared" si="2"/>
        <v>EB</v>
      </c>
      <c r="C52" s="272" t="s">
        <v>716</v>
      </c>
      <c r="D52" s="151" t="s">
        <v>0</v>
      </c>
      <c r="E52" s="151" t="s">
        <v>125</v>
      </c>
      <c r="F52" s="179" t="s">
        <v>688</v>
      </c>
      <c r="G52" s="282" t="s">
        <v>716</v>
      </c>
      <c r="H52" s="282"/>
      <c r="I52" s="282"/>
      <c r="J52" s="282"/>
      <c r="K52" s="282"/>
      <c r="L52" s="282"/>
      <c r="M52" s="282"/>
      <c r="N52" s="282"/>
      <c r="O52" s="151" t="s">
        <v>1</v>
      </c>
      <c r="P52" s="351"/>
      <c r="Q52" s="156" t="s">
        <v>24</v>
      </c>
      <c r="R52" s="151">
        <f t="shared" si="1"/>
        <v>235</v>
      </c>
      <c r="S52" s="151">
        <v>43</v>
      </c>
      <c r="T52" s="148"/>
    </row>
    <row r="53" spans="1:20" ht="15" customHeight="1">
      <c r="A53" s="148"/>
      <c r="B53" s="151" t="str">
        <f t="shared" si="2"/>
        <v>EC</v>
      </c>
      <c r="C53" s="272" t="s">
        <v>717</v>
      </c>
      <c r="D53" s="151" t="s">
        <v>0</v>
      </c>
      <c r="E53" s="151" t="s">
        <v>125</v>
      </c>
      <c r="F53" s="179" t="s">
        <v>688</v>
      </c>
      <c r="G53" s="282" t="s">
        <v>717</v>
      </c>
      <c r="H53" s="282"/>
      <c r="I53" s="282"/>
      <c r="J53" s="282"/>
      <c r="K53" s="282"/>
      <c r="L53" s="282"/>
      <c r="M53" s="282"/>
      <c r="N53" s="282"/>
      <c r="O53" s="151" t="s">
        <v>1</v>
      </c>
      <c r="P53" s="351"/>
      <c r="Q53" s="156" t="s">
        <v>24</v>
      </c>
      <c r="R53" s="151">
        <f t="shared" si="1"/>
        <v>236</v>
      </c>
      <c r="S53" s="151">
        <v>44</v>
      </c>
      <c r="T53" s="148"/>
    </row>
    <row r="54" spans="1:20" ht="15" customHeight="1">
      <c r="A54" s="148"/>
      <c r="B54" s="151" t="str">
        <f t="shared" si="2"/>
        <v>ED</v>
      </c>
      <c r="C54" s="272" t="s">
        <v>718</v>
      </c>
      <c r="D54" s="151" t="s">
        <v>0</v>
      </c>
      <c r="E54" s="151" t="s">
        <v>125</v>
      </c>
      <c r="F54" s="179" t="s">
        <v>688</v>
      </c>
      <c r="G54" s="282" t="s">
        <v>718</v>
      </c>
      <c r="H54" s="282"/>
      <c r="I54" s="282"/>
      <c r="J54" s="282"/>
      <c r="K54" s="282"/>
      <c r="L54" s="282"/>
      <c r="M54" s="282"/>
      <c r="N54" s="282"/>
      <c r="O54" s="151" t="s">
        <v>1</v>
      </c>
      <c r="P54" s="351"/>
      <c r="Q54" s="156" t="s">
        <v>24</v>
      </c>
      <c r="R54" s="151">
        <f t="shared" si="1"/>
        <v>237</v>
      </c>
      <c r="S54" s="151">
        <v>45</v>
      </c>
      <c r="T54" s="148"/>
    </row>
    <row r="55" spans="1:20" ht="15" customHeight="1">
      <c r="A55" s="148"/>
      <c r="B55" s="151" t="str">
        <f t="shared" si="2"/>
        <v>EE</v>
      </c>
      <c r="C55" s="272" t="s">
        <v>713</v>
      </c>
      <c r="D55" s="151" t="s">
        <v>0</v>
      </c>
      <c r="E55" s="151" t="s">
        <v>125</v>
      </c>
      <c r="F55" s="179" t="s">
        <v>688</v>
      </c>
      <c r="G55" s="282" t="s">
        <v>713</v>
      </c>
      <c r="H55" s="282"/>
      <c r="I55" s="282"/>
      <c r="J55" s="282"/>
      <c r="K55" s="282"/>
      <c r="L55" s="282"/>
      <c r="M55" s="282"/>
      <c r="N55" s="282"/>
      <c r="O55" s="151" t="s">
        <v>1</v>
      </c>
      <c r="P55" s="351"/>
      <c r="Q55" s="156" t="s">
        <v>24</v>
      </c>
      <c r="R55" s="151">
        <f t="shared" si="1"/>
        <v>238</v>
      </c>
      <c r="S55" s="151">
        <v>46</v>
      </c>
      <c r="T55" s="148"/>
    </row>
    <row r="56" spans="1:20" ht="15" customHeight="1">
      <c r="A56" s="148"/>
      <c r="B56" s="151" t="str">
        <f t="shared" si="2"/>
        <v>EF</v>
      </c>
      <c r="C56" s="146" t="s">
        <v>142</v>
      </c>
      <c r="D56" s="151" t="s">
        <v>0</v>
      </c>
      <c r="E56" s="151" t="s">
        <v>125</v>
      </c>
      <c r="F56" s="179" t="s">
        <v>688</v>
      </c>
      <c r="G56" s="282" t="s">
        <v>142</v>
      </c>
      <c r="H56" s="282"/>
      <c r="I56" s="282"/>
      <c r="J56" s="282"/>
      <c r="K56" s="282"/>
      <c r="L56" s="282"/>
      <c r="M56" s="282"/>
      <c r="N56" s="282"/>
      <c r="O56" s="151" t="s">
        <v>1</v>
      </c>
      <c r="P56" s="351"/>
      <c r="Q56" s="156" t="s">
        <v>24</v>
      </c>
      <c r="R56" s="151">
        <f t="shared" si="1"/>
        <v>239</v>
      </c>
      <c r="S56" s="151">
        <v>47</v>
      </c>
      <c r="T56" s="148"/>
    </row>
    <row r="57" spans="1:20" ht="15" customHeight="1">
      <c r="A57" s="148"/>
      <c r="B57" s="151" t="s">
        <v>689</v>
      </c>
      <c r="C57" s="146" t="s">
        <v>143</v>
      </c>
      <c r="D57" s="151" t="s">
        <v>0</v>
      </c>
      <c r="E57" s="151" t="s">
        <v>125</v>
      </c>
      <c r="F57" s="190" t="s">
        <v>688</v>
      </c>
      <c r="G57" s="282" t="s">
        <v>143</v>
      </c>
      <c r="H57" s="282"/>
      <c r="I57" s="282"/>
      <c r="J57" s="282"/>
      <c r="K57" s="282"/>
      <c r="L57" s="282"/>
      <c r="M57" s="282"/>
      <c r="N57" s="282"/>
      <c r="O57" s="151" t="s">
        <v>1</v>
      </c>
      <c r="P57" s="351"/>
      <c r="Q57" s="156" t="s">
        <v>24</v>
      </c>
      <c r="R57" s="151">
        <f t="shared" si="1"/>
        <v>240</v>
      </c>
      <c r="S57" s="151">
        <v>48</v>
      </c>
      <c r="T57" s="148"/>
    </row>
    <row r="58" spans="1:20">
      <c r="A58" s="148"/>
      <c r="B58" s="151" t="str">
        <f t="shared" ref="B58:B72" si="3">DEC2HEX(R58)</f>
        <v>F1</v>
      </c>
      <c r="C58" s="146" t="s">
        <v>144</v>
      </c>
      <c r="D58" s="151" t="s">
        <v>0</v>
      </c>
      <c r="E58" s="151" t="s">
        <v>125</v>
      </c>
      <c r="F58" s="190" t="s">
        <v>688</v>
      </c>
      <c r="G58" s="282" t="s">
        <v>144</v>
      </c>
      <c r="H58" s="282"/>
      <c r="I58" s="282"/>
      <c r="J58" s="282"/>
      <c r="K58" s="282"/>
      <c r="L58" s="282"/>
      <c r="M58" s="282"/>
      <c r="N58" s="282"/>
      <c r="O58" s="151" t="s">
        <v>1</v>
      </c>
      <c r="P58" s="351"/>
      <c r="Q58" s="156" t="s">
        <v>24</v>
      </c>
      <c r="R58" s="151">
        <f t="shared" si="1"/>
        <v>241</v>
      </c>
      <c r="S58" s="151">
        <v>49</v>
      </c>
      <c r="T58" s="148"/>
    </row>
    <row r="59" spans="1:20">
      <c r="A59" s="148"/>
      <c r="B59" s="151" t="str">
        <f t="shared" si="3"/>
        <v>F2</v>
      </c>
      <c r="C59" s="146" t="s">
        <v>126</v>
      </c>
      <c r="D59" s="151" t="s">
        <v>0</v>
      </c>
      <c r="E59" s="151" t="s">
        <v>125</v>
      </c>
      <c r="F59" s="190" t="s">
        <v>688</v>
      </c>
      <c r="G59" s="282" t="s">
        <v>126</v>
      </c>
      <c r="H59" s="282"/>
      <c r="I59" s="282"/>
      <c r="J59" s="282"/>
      <c r="K59" s="282"/>
      <c r="L59" s="282"/>
      <c r="M59" s="282"/>
      <c r="N59" s="282"/>
      <c r="O59" s="151" t="s">
        <v>1</v>
      </c>
      <c r="P59" s="351"/>
      <c r="Q59" s="156" t="s">
        <v>24</v>
      </c>
      <c r="R59" s="151">
        <f t="shared" si="1"/>
        <v>242</v>
      </c>
      <c r="S59" s="151">
        <v>50</v>
      </c>
      <c r="T59" s="148"/>
    </row>
    <row r="60" spans="1:20">
      <c r="A60" s="148"/>
      <c r="B60" s="151" t="str">
        <f t="shared" si="3"/>
        <v>F3</v>
      </c>
      <c r="C60" s="146" t="s">
        <v>127</v>
      </c>
      <c r="D60" s="151" t="s">
        <v>0</v>
      </c>
      <c r="E60" s="151" t="s">
        <v>125</v>
      </c>
      <c r="F60" s="179" t="s">
        <v>688</v>
      </c>
      <c r="G60" s="282" t="s">
        <v>127</v>
      </c>
      <c r="H60" s="282"/>
      <c r="I60" s="282"/>
      <c r="J60" s="282"/>
      <c r="K60" s="282"/>
      <c r="L60" s="282"/>
      <c r="M60" s="282"/>
      <c r="N60" s="282"/>
      <c r="O60" s="151" t="s">
        <v>1</v>
      </c>
      <c r="P60" s="351"/>
      <c r="Q60" s="156" t="s">
        <v>24</v>
      </c>
      <c r="R60" s="151">
        <f t="shared" si="1"/>
        <v>243</v>
      </c>
      <c r="S60" s="151">
        <v>51</v>
      </c>
      <c r="T60" s="148"/>
    </row>
    <row r="61" spans="1:20">
      <c r="A61" s="148"/>
      <c r="B61" s="151" t="str">
        <f t="shared" si="3"/>
        <v>F4</v>
      </c>
      <c r="C61" s="146" t="s">
        <v>128</v>
      </c>
      <c r="D61" s="151" t="s">
        <v>0</v>
      </c>
      <c r="E61" s="151" t="s">
        <v>125</v>
      </c>
      <c r="F61" s="190" t="s">
        <v>688</v>
      </c>
      <c r="G61" s="282" t="s">
        <v>128</v>
      </c>
      <c r="H61" s="282"/>
      <c r="I61" s="282"/>
      <c r="J61" s="282"/>
      <c r="K61" s="282"/>
      <c r="L61" s="282"/>
      <c r="M61" s="282"/>
      <c r="N61" s="282"/>
      <c r="O61" s="151" t="s">
        <v>1</v>
      </c>
      <c r="P61" s="351"/>
      <c r="Q61" s="156" t="s">
        <v>24</v>
      </c>
      <c r="R61" s="151">
        <f t="shared" si="1"/>
        <v>244</v>
      </c>
      <c r="S61" s="151">
        <v>52</v>
      </c>
      <c r="T61" s="148"/>
    </row>
    <row r="62" spans="1:20">
      <c r="A62" s="148"/>
      <c r="B62" s="151" t="str">
        <f t="shared" si="3"/>
        <v>F5</v>
      </c>
      <c r="C62" s="146" t="s">
        <v>129</v>
      </c>
      <c r="D62" s="151" t="s">
        <v>0</v>
      </c>
      <c r="E62" s="151" t="s">
        <v>125</v>
      </c>
      <c r="F62" s="190" t="s">
        <v>688</v>
      </c>
      <c r="G62" s="282" t="s">
        <v>129</v>
      </c>
      <c r="H62" s="282"/>
      <c r="I62" s="282"/>
      <c r="J62" s="282"/>
      <c r="K62" s="282"/>
      <c r="L62" s="282"/>
      <c r="M62" s="282"/>
      <c r="N62" s="282"/>
      <c r="O62" s="151" t="s">
        <v>1</v>
      </c>
      <c r="P62" s="351"/>
      <c r="Q62" s="156" t="s">
        <v>24</v>
      </c>
      <c r="R62" s="151">
        <f t="shared" si="1"/>
        <v>245</v>
      </c>
      <c r="S62" s="151">
        <v>53</v>
      </c>
      <c r="T62" s="148"/>
    </row>
    <row r="63" spans="1:20">
      <c r="A63" s="148"/>
      <c r="B63" s="151" t="str">
        <f t="shared" si="3"/>
        <v>F6</v>
      </c>
      <c r="C63" s="146" t="s">
        <v>130</v>
      </c>
      <c r="D63" s="151" t="s">
        <v>0</v>
      </c>
      <c r="E63" s="151" t="s">
        <v>125</v>
      </c>
      <c r="F63" s="190" t="s">
        <v>688</v>
      </c>
      <c r="G63" s="282" t="s">
        <v>130</v>
      </c>
      <c r="H63" s="282"/>
      <c r="I63" s="282"/>
      <c r="J63" s="282"/>
      <c r="K63" s="282"/>
      <c r="L63" s="282"/>
      <c r="M63" s="282"/>
      <c r="N63" s="282"/>
      <c r="O63" s="151" t="s">
        <v>1</v>
      </c>
      <c r="P63" s="351"/>
      <c r="Q63" s="156" t="s">
        <v>24</v>
      </c>
      <c r="R63" s="151">
        <f t="shared" si="1"/>
        <v>246</v>
      </c>
      <c r="S63" s="151">
        <v>54</v>
      </c>
      <c r="T63" s="148"/>
    </row>
    <row r="64" spans="1:20">
      <c r="A64" s="148"/>
      <c r="B64" s="151" t="str">
        <f t="shared" si="3"/>
        <v>F7</v>
      </c>
      <c r="C64" s="146" t="s">
        <v>131</v>
      </c>
      <c r="D64" s="151" t="s">
        <v>0</v>
      </c>
      <c r="E64" s="151" t="s">
        <v>125</v>
      </c>
      <c r="F64" s="190" t="s">
        <v>688</v>
      </c>
      <c r="G64" s="282" t="s">
        <v>131</v>
      </c>
      <c r="H64" s="282"/>
      <c r="I64" s="282"/>
      <c r="J64" s="282"/>
      <c r="K64" s="282"/>
      <c r="L64" s="282"/>
      <c r="M64" s="282"/>
      <c r="N64" s="282"/>
      <c r="O64" s="151" t="s">
        <v>1</v>
      </c>
      <c r="P64" s="351"/>
      <c r="Q64" s="156" t="s">
        <v>24</v>
      </c>
      <c r="R64" s="151">
        <f t="shared" si="1"/>
        <v>247</v>
      </c>
      <c r="S64" s="151">
        <v>55</v>
      </c>
      <c r="T64" s="148"/>
    </row>
    <row r="65" spans="1:20">
      <c r="A65" s="148"/>
      <c r="B65" s="151" t="str">
        <f t="shared" si="3"/>
        <v>F8</v>
      </c>
      <c r="C65" s="146" t="s">
        <v>132</v>
      </c>
      <c r="D65" s="151" t="s">
        <v>0</v>
      </c>
      <c r="E65" s="151" t="s">
        <v>125</v>
      </c>
      <c r="F65" s="179" t="s">
        <v>688</v>
      </c>
      <c r="G65" s="282" t="s">
        <v>132</v>
      </c>
      <c r="H65" s="282"/>
      <c r="I65" s="282"/>
      <c r="J65" s="282"/>
      <c r="K65" s="282"/>
      <c r="L65" s="282"/>
      <c r="M65" s="282"/>
      <c r="N65" s="282"/>
      <c r="O65" s="151" t="s">
        <v>1</v>
      </c>
      <c r="P65" s="351"/>
      <c r="Q65" s="156" t="s">
        <v>24</v>
      </c>
      <c r="R65" s="151">
        <f t="shared" si="1"/>
        <v>248</v>
      </c>
      <c r="S65" s="151">
        <v>56</v>
      </c>
      <c r="T65" s="148"/>
    </row>
    <row r="66" spans="1:20">
      <c r="A66" s="148"/>
      <c r="B66" s="151" t="str">
        <f t="shared" si="3"/>
        <v>F9</v>
      </c>
      <c r="C66" s="146" t="s">
        <v>133</v>
      </c>
      <c r="D66" s="151" t="s">
        <v>0</v>
      </c>
      <c r="E66" s="151" t="s">
        <v>125</v>
      </c>
      <c r="F66" s="179" t="s">
        <v>688</v>
      </c>
      <c r="G66" s="282" t="s">
        <v>133</v>
      </c>
      <c r="H66" s="282"/>
      <c r="I66" s="282"/>
      <c r="J66" s="282"/>
      <c r="K66" s="282"/>
      <c r="L66" s="282"/>
      <c r="M66" s="282"/>
      <c r="N66" s="282"/>
      <c r="O66" s="151" t="s">
        <v>1</v>
      </c>
      <c r="P66" s="351"/>
      <c r="Q66" s="156" t="s">
        <v>24</v>
      </c>
      <c r="R66" s="151">
        <f t="shared" si="1"/>
        <v>249</v>
      </c>
      <c r="S66" s="151">
        <v>57</v>
      </c>
      <c r="T66" s="148"/>
    </row>
    <row r="67" spans="1:20">
      <c r="A67" s="148"/>
      <c r="B67" s="151" t="str">
        <f t="shared" si="3"/>
        <v>FA</v>
      </c>
      <c r="C67" s="146" t="s">
        <v>134</v>
      </c>
      <c r="D67" s="151" t="s">
        <v>0</v>
      </c>
      <c r="E67" s="151" t="s">
        <v>125</v>
      </c>
      <c r="F67" s="179" t="s">
        <v>688</v>
      </c>
      <c r="G67" s="282" t="s">
        <v>134</v>
      </c>
      <c r="H67" s="282"/>
      <c r="I67" s="282"/>
      <c r="J67" s="282"/>
      <c r="K67" s="282"/>
      <c r="L67" s="282"/>
      <c r="M67" s="282"/>
      <c r="N67" s="282"/>
      <c r="O67" s="151" t="s">
        <v>1</v>
      </c>
      <c r="P67" s="351"/>
      <c r="Q67" s="156" t="s">
        <v>24</v>
      </c>
      <c r="R67" s="151">
        <f t="shared" si="1"/>
        <v>250</v>
      </c>
      <c r="S67" s="151">
        <v>58</v>
      </c>
      <c r="T67" s="148"/>
    </row>
    <row r="68" spans="1:20">
      <c r="A68" s="148"/>
      <c r="B68" s="151" t="str">
        <f t="shared" si="3"/>
        <v>FB</v>
      </c>
      <c r="C68" s="146" t="s">
        <v>135</v>
      </c>
      <c r="D68" s="151" t="s">
        <v>0</v>
      </c>
      <c r="E68" s="151" t="s">
        <v>125</v>
      </c>
      <c r="F68" s="179" t="s">
        <v>688</v>
      </c>
      <c r="G68" s="282" t="s">
        <v>135</v>
      </c>
      <c r="H68" s="282"/>
      <c r="I68" s="282"/>
      <c r="J68" s="282"/>
      <c r="K68" s="282"/>
      <c r="L68" s="282"/>
      <c r="M68" s="282"/>
      <c r="N68" s="282"/>
      <c r="O68" s="151" t="s">
        <v>1</v>
      </c>
      <c r="P68" s="351"/>
      <c r="Q68" s="156" t="s">
        <v>24</v>
      </c>
      <c r="R68" s="151">
        <f t="shared" si="1"/>
        <v>251</v>
      </c>
      <c r="S68" s="151">
        <v>59</v>
      </c>
      <c r="T68" s="148"/>
    </row>
    <row r="69" spans="1:20">
      <c r="A69" s="148"/>
      <c r="B69" s="151" t="str">
        <f t="shared" si="3"/>
        <v>FC</v>
      </c>
      <c r="C69" s="146" t="s">
        <v>136</v>
      </c>
      <c r="D69" s="151" t="s">
        <v>0</v>
      </c>
      <c r="E69" s="151" t="s">
        <v>125</v>
      </c>
      <c r="F69" s="179" t="s">
        <v>688</v>
      </c>
      <c r="G69" s="282" t="s">
        <v>136</v>
      </c>
      <c r="H69" s="282"/>
      <c r="I69" s="282"/>
      <c r="J69" s="282"/>
      <c r="K69" s="282"/>
      <c r="L69" s="282"/>
      <c r="M69" s="282"/>
      <c r="N69" s="282"/>
      <c r="O69" s="151" t="s">
        <v>1</v>
      </c>
      <c r="P69" s="351"/>
      <c r="Q69" s="156" t="s">
        <v>24</v>
      </c>
      <c r="R69" s="151">
        <f t="shared" si="1"/>
        <v>252</v>
      </c>
      <c r="S69" s="151">
        <v>60</v>
      </c>
      <c r="T69" s="148"/>
    </row>
    <row r="70" spans="1:20">
      <c r="A70" s="148"/>
      <c r="B70" s="151" t="str">
        <f t="shared" si="3"/>
        <v>FD</v>
      </c>
      <c r="C70" s="146" t="s">
        <v>137</v>
      </c>
      <c r="D70" s="151" t="s">
        <v>0</v>
      </c>
      <c r="E70" s="151" t="s">
        <v>125</v>
      </c>
      <c r="F70" s="179" t="s">
        <v>688</v>
      </c>
      <c r="G70" s="282" t="s">
        <v>137</v>
      </c>
      <c r="H70" s="282"/>
      <c r="I70" s="282"/>
      <c r="J70" s="282"/>
      <c r="K70" s="282"/>
      <c r="L70" s="282"/>
      <c r="M70" s="282"/>
      <c r="N70" s="282"/>
      <c r="O70" s="151" t="s">
        <v>1</v>
      </c>
      <c r="P70" s="351"/>
      <c r="Q70" s="156" t="s">
        <v>24</v>
      </c>
      <c r="R70" s="151">
        <f t="shared" si="1"/>
        <v>253</v>
      </c>
      <c r="S70" s="151">
        <v>61</v>
      </c>
      <c r="T70" s="148"/>
    </row>
    <row r="71" spans="1:20">
      <c r="A71" s="148"/>
      <c r="B71" s="151" t="str">
        <f t="shared" si="3"/>
        <v>FE</v>
      </c>
      <c r="C71" s="146" t="s">
        <v>138</v>
      </c>
      <c r="D71" s="151" t="s">
        <v>0</v>
      </c>
      <c r="E71" s="151" t="s">
        <v>125</v>
      </c>
      <c r="F71" s="179" t="s">
        <v>688</v>
      </c>
      <c r="G71" s="282" t="s">
        <v>138</v>
      </c>
      <c r="H71" s="282"/>
      <c r="I71" s="282"/>
      <c r="J71" s="282"/>
      <c r="K71" s="282"/>
      <c r="L71" s="282"/>
      <c r="M71" s="282"/>
      <c r="N71" s="282"/>
      <c r="O71" s="151" t="s">
        <v>1</v>
      </c>
      <c r="P71" s="351"/>
      <c r="Q71" s="156" t="s">
        <v>24</v>
      </c>
      <c r="R71" s="151">
        <f t="shared" si="1"/>
        <v>254</v>
      </c>
      <c r="S71" s="151">
        <v>62</v>
      </c>
      <c r="T71" s="148"/>
    </row>
    <row r="72" spans="1:20">
      <c r="A72" s="148"/>
      <c r="B72" s="151" t="str">
        <f t="shared" si="3"/>
        <v>FF</v>
      </c>
      <c r="C72" s="146" t="s">
        <v>139</v>
      </c>
      <c r="D72" s="151" t="s">
        <v>0</v>
      </c>
      <c r="E72" s="151" t="s">
        <v>125</v>
      </c>
      <c r="F72" s="179" t="s">
        <v>688</v>
      </c>
      <c r="G72" s="282" t="s">
        <v>139</v>
      </c>
      <c r="H72" s="282"/>
      <c r="I72" s="282"/>
      <c r="J72" s="282"/>
      <c r="K72" s="282"/>
      <c r="L72" s="282"/>
      <c r="M72" s="282"/>
      <c r="N72" s="282"/>
      <c r="O72" s="151" t="s">
        <v>1</v>
      </c>
      <c r="P72" s="160" t="s">
        <v>216</v>
      </c>
      <c r="Q72" s="156" t="s">
        <v>24</v>
      </c>
      <c r="R72" s="151">
        <f t="shared" si="1"/>
        <v>255</v>
      </c>
      <c r="S72" s="151">
        <v>63</v>
      </c>
      <c r="T72" s="148"/>
    </row>
    <row r="73" spans="1:20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</row>
    <row r="83" spans="3:14">
      <c r="C83" s="108"/>
      <c r="D83" s="108"/>
      <c r="E83" s="108"/>
      <c r="F83" s="107"/>
      <c r="G83" s="346"/>
      <c r="H83" s="346"/>
      <c r="I83" s="346"/>
      <c r="J83" s="346"/>
      <c r="K83" s="346"/>
      <c r="L83" s="346"/>
      <c r="M83" s="346"/>
      <c r="N83" s="346"/>
    </row>
    <row r="84" spans="3:14">
      <c r="C84" s="107"/>
      <c r="D84" s="108"/>
      <c r="E84" s="108"/>
      <c r="F84" s="107"/>
      <c r="G84" s="345"/>
      <c r="H84" s="345"/>
      <c r="I84" s="345"/>
      <c r="J84" s="345"/>
      <c r="K84" s="345"/>
      <c r="L84" s="345"/>
      <c r="M84" s="345"/>
      <c r="N84" s="345"/>
    </row>
    <row r="85" spans="3:14">
      <c r="C85" s="107"/>
      <c r="D85" s="108"/>
      <c r="E85" s="108"/>
      <c r="F85" s="107"/>
      <c r="G85" s="345"/>
      <c r="H85" s="345"/>
      <c r="I85" s="345"/>
      <c r="J85" s="345"/>
      <c r="K85" s="345"/>
      <c r="L85" s="345"/>
      <c r="M85" s="345"/>
      <c r="N85" s="345"/>
    </row>
    <row r="86" spans="3:14"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</row>
  </sheetData>
  <mergeCells count="92">
    <mergeCell ref="AB23:AC23"/>
    <mergeCell ref="AF23:AG23"/>
    <mergeCell ref="AE22:AG22"/>
    <mergeCell ref="G56:N56"/>
    <mergeCell ref="G57:N57"/>
    <mergeCell ref="AD35:AF35"/>
    <mergeCell ref="Q24:Q25"/>
    <mergeCell ref="G55:N55"/>
    <mergeCell ref="G50:N50"/>
    <mergeCell ref="G54:N54"/>
    <mergeCell ref="G41:N41"/>
    <mergeCell ref="G42:N42"/>
    <mergeCell ref="G43:N43"/>
    <mergeCell ref="R24:R25"/>
    <mergeCell ref="S24:S25"/>
    <mergeCell ref="G61:N61"/>
    <mergeCell ref="G62:N62"/>
    <mergeCell ref="G63:N63"/>
    <mergeCell ref="AD21:AE21"/>
    <mergeCell ref="AA35:AC35"/>
    <mergeCell ref="AE28:AF28"/>
    <mergeCell ref="AF21:AG21"/>
    <mergeCell ref="AD25:AG25"/>
    <mergeCell ref="Z23:AA23"/>
    <mergeCell ref="AB24:AC24"/>
    <mergeCell ref="Z29:AG29"/>
    <mergeCell ref="Z30:AA30"/>
    <mergeCell ref="AB34:AC34"/>
    <mergeCell ref="Z34:AA34"/>
    <mergeCell ref="AD34:AG34"/>
    <mergeCell ref="AD23:AE23"/>
    <mergeCell ref="B3:C5"/>
    <mergeCell ref="M10:N10"/>
    <mergeCell ref="G11:H11"/>
    <mergeCell ref="K12:N12"/>
    <mergeCell ref="L9:N9"/>
    <mergeCell ref="K10:L10"/>
    <mergeCell ref="G17:N17"/>
    <mergeCell ref="G18:K18"/>
    <mergeCell ref="P9:P71"/>
    <mergeCell ref="G15:N15"/>
    <mergeCell ref="G71:N71"/>
    <mergeCell ref="G70:N70"/>
    <mergeCell ref="K33:N33"/>
    <mergeCell ref="G30:I30"/>
    <mergeCell ref="J30:N30"/>
    <mergeCell ref="G31:J31"/>
    <mergeCell ref="L31:N31"/>
    <mergeCell ref="I32:N32"/>
    <mergeCell ref="G16:K16"/>
    <mergeCell ref="G20:N20"/>
    <mergeCell ref="L21:N21"/>
    <mergeCell ref="G23:N23"/>
    <mergeCell ref="G85:N85"/>
    <mergeCell ref="G83:N83"/>
    <mergeCell ref="G84:N84"/>
    <mergeCell ref="I10:J10"/>
    <mergeCell ref="G53:N53"/>
    <mergeCell ref="G49:N49"/>
    <mergeCell ref="G48:N48"/>
    <mergeCell ref="G44:N44"/>
    <mergeCell ref="G46:N46"/>
    <mergeCell ref="G68:N68"/>
    <mergeCell ref="G69:N69"/>
    <mergeCell ref="G47:N47"/>
    <mergeCell ref="G45:N45"/>
    <mergeCell ref="G33:J33"/>
    <mergeCell ref="G38:N38"/>
    <mergeCell ref="G65:N65"/>
    <mergeCell ref="B24:B25"/>
    <mergeCell ref="C24:C25"/>
    <mergeCell ref="G22:N22"/>
    <mergeCell ref="O24:O25"/>
    <mergeCell ref="G40:N40"/>
    <mergeCell ref="G39:N39"/>
    <mergeCell ref="L27:N27"/>
    <mergeCell ref="G72:N72"/>
    <mergeCell ref="G34:J34"/>
    <mergeCell ref="K34:N34"/>
    <mergeCell ref="I36:J36"/>
    <mergeCell ref="M36:N36"/>
    <mergeCell ref="G37:J37"/>
    <mergeCell ref="K37:L37"/>
    <mergeCell ref="M35:N35"/>
    <mergeCell ref="G58:N58"/>
    <mergeCell ref="G59:N59"/>
    <mergeCell ref="G51:N51"/>
    <mergeCell ref="G52:N52"/>
    <mergeCell ref="G66:N66"/>
    <mergeCell ref="G67:N67"/>
    <mergeCell ref="G60:N60"/>
    <mergeCell ref="G64:N6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36"/>
  <sheetViews>
    <sheetView workbookViewId="0">
      <selection activeCell="Z33" sqref="Z33"/>
    </sheetView>
  </sheetViews>
  <sheetFormatPr defaultRowHeight="16.5"/>
  <cols>
    <col min="2" max="2" width="4.625" customWidth="1"/>
    <col min="3" max="3" width="18.75" customWidth="1"/>
    <col min="4" max="19" width="3.625" customWidth="1"/>
    <col min="21" max="21" width="25.625" customWidth="1"/>
    <col min="22" max="22" width="40.875" customWidth="1"/>
    <col min="24" max="24" width="10.375" customWidth="1"/>
    <col min="25" max="25" width="10.125" customWidth="1"/>
    <col min="26" max="26" width="21.25" customWidth="1"/>
  </cols>
  <sheetData>
    <row r="1" spans="1:26" ht="17.25" thickBot="1">
      <c r="C1" s="23"/>
    </row>
    <row r="2" spans="1:26" ht="17.25" thickBot="1">
      <c r="B2" s="24"/>
      <c r="C2" s="363" t="s">
        <v>27</v>
      </c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5"/>
      <c r="T2" s="25"/>
      <c r="U2" s="363" t="s">
        <v>28</v>
      </c>
      <c r="V2" s="365"/>
      <c r="W2" s="26"/>
      <c r="X2" s="363" t="s">
        <v>29</v>
      </c>
      <c r="Y2" s="364"/>
      <c r="Z2" s="365"/>
    </row>
    <row r="3" spans="1:26" ht="17.25" thickBot="1">
      <c r="A3" s="26"/>
      <c r="B3" s="27"/>
      <c r="C3" s="28"/>
      <c r="D3" s="29">
        <v>15</v>
      </c>
      <c r="E3" s="29">
        <v>14</v>
      </c>
      <c r="F3" s="29">
        <v>13</v>
      </c>
      <c r="G3" s="29">
        <v>12</v>
      </c>
      <c r="H3" s="29">
        <v>11</v>
      </c>
      <c r="I3" s="29">
        <v>10</v>
      </c>
      <c r="J3" s="29">
        <v>9</v>
      </c>
      <c r="K3" s="29">
        <v>8</v>
      </c>
      <c r="L3" s="29">
        <v>7</v>
      </c>
      <c r="M3" s="29">
        <v>6</v>
      </c>
      <c r="N3" s="29">
        <v>5</v>
      </c>
      <c r="O3" s="29">
        <v>4</v>
      </c>
      <c r="P3" s="29">
        <v>3</v>
      </c>
      <c r="Q3" s="29">
        <v>2</v>
      </c>
      <c r="R3" s="29">
        <v>1</v>
      </c>
      <c r="S3" s="30">
        <v>0</v>
      </c>
      <c r="T3" s="25"/>
      <c r="U3" s="31" t="s">
        <v>30</v>
      </c>
      <c r="V3" s="31" t="s">
        <v>31</v>
      </c>
      <c r="W3" s="32"/>
      <c r="X3" s="33" t="s">
        <v>32</v>
      </c>
      <c r="Y3" s="33" t="s">
        <v>33</v>
      </c>
      <c r="Z3" s="34" t="s">
        <v>34</v>
      </c>
    </row>
    <row r="4" spans="1:26">
      <c r="A4" s="26"/>
      <c r="B4" s="35">
        <v>0</v>
      </c>
      <c r="C4" s="36" t="s">
        <v>35</v>
      </c>
      <c r="D4" s="37">
        <v>0</v>
      </c>
      <c r="E4" s="38">
        <v>0</v>
      </c>
      <c r="F4" s="38">
        <v>0</v>
      </c>
      <c r="G4" s="39">
        <v>0</v>
      </c>
      <c r="H4" s="366" t="s">
        <v>36</v>
      </c>
      <c r="I4" s="367"/>
      <c r="J4" s="367"/>
      <c r="K4" s="367"/>
      <c r="L4" s="367"/>
      <c r="M4" s="367"/>
      <c r="N4" s="367"/>
      <c r="O4" s="367"/>
      <c r="P4" s="367"/>
      <c r="Q4" s="367"/>
      <c r="R4" s="367"/>
      <c r="S4" s="368"/>
      <c r="T4" s="25"/>
      <c r="U4" s="40" t="s">
        <v>35</v>
      </c>
      <c r="V4" s="40" t="s">
        <v>37</v>
      </c>
      <c r="W4" s="41"/>
      <c r="X4" s="42">
        <v>0</v>
      </c>
      <c r="Y4" s="42" t="str">
        <f>DEC2HEX(X4,4)</f>
        <v>0000</v>
      </c>
      <c r="Z4" s="43" t="s">
        <v>38</v>
      </c>
    </row>
    <row r="5" spans="1:26">
      <c r="A5" s="26"/>
      <c r="B5" s="44">
        <v>1</v>
      </c>
      <c r="C5" s="45" t="s">
        <v>39</v>
      </c>
      <c r="D5" s="46">
        <v>0</v>
      </c>
      <c r="E5" s="47">
        <v>0</v>
      </c>
      <c r="F5" s="47">
        <v>0</v>
      </c>
      <c r="G5" s="48">
        <v>1</v>
      </c>
      <c r="H5" s="49" t="s">
        <v>40</v>
      </c>
      <c r="I5" s="50"/>
      <c r="J5" s="50"/>
      <c r="K5" s="50"/>
      <c r="L5" s="50"/>
      <c r="M5" s="50"/>
      <c r="N5" s="361" t="s">
        <v>41</v>
      </c>
      <c r="O5" s="361"/>
      <c r="P5" s="361"/>
      <c r="Q5" s="361"/>
      <c r="R5" s="361"/>
      <c r="S5" s="362"/>
      <c r="T5" s="25"/>
      <c r="U5" s="51" t="s">
        <v>42</v>
      </c>
      <c r="V5" s="51" t="s">
        <v>43</v>
      </c>
      <c r="W5" s="41"/>
      <c r="X5" s="52">
        <v>1</v>
      </c>
      <c r="Y5" s="52" t="str">
        <f t="shared" ref="Y5:Y34" si="0">DEC2HEX(X5,4)</f>
        <v>0001</v>
      </c>
      <c r="Z5" s="53" t="s">
        <v>44</v>
      </c>
    </row>
    <row r="6" spans="1:26">
      <c r="A6" s="26"/>
      <c r="B6" s="54">
        <v>2</v>
      </c>
      <c r="C6" s="55" t="s">
        <v>45</v>
      </c>
      <c r="D6" s="46">
        <v>0</v>
      </c>
      <c r="E6" s="47">
        <v>0</v>
      </c>
      <c r="F6" s="47">
        <v>1</v>
      </c>
      <c r="G6" s="48">
        <v>0</v>
      </c>
      <c r="H6" s="56" t="s">
        <v>46</v>
      </c>
      <c r="I6" s="57"/>
      <c r="J6" s="57"/>
      <c r="K6" s="57"/>
      <c r="L6" s="57"/>
      <c r="M6" s="57"/>
      <c r="N6" s="361" t="s">
        <v>47</v>
      </c>
      <c r="O6" s="361"/>
      <c r="P6" s="361"/>
      <c r="Q6" s="361"/>
      <c r="R6" s="361"/>
      <c r="S6" s="362"/>
      <c r="T6" s="25"/>
      <c r="U6" s="51" t="s">
        <v>48</v>
      </c>
      <c r="V6" s="51" t="s">
        <v>49</v>
      </c>
      <c r="W6" s="41"/>
      <c r="X6" s="52">
        <v>2</v>
      </c>
      <c r="Y6" s="52" t="str">
        <f t="shared" si="0"/>
        <v>0002</v>
      </c>
      <c r="Z6" s="58" t="s">
        <v>50</v>
      </c>
    </row>
    <row r="7" spans="1:26">
      <c r="A7" s="26"/>
      <c r="B7" s="54">
        <v>3</v>
      </c>
      <c r="C7" s="59" t="s">
        <v>51</v>
      </c>
      <c r="D7" s="46">
        <v>0</v>
      </c>
      <c r="E7" s="47">
        <v>0</v>
      </c>
      <c r="F7" s="47">
        <v>1</v>
      </c>
      <c r="G7" s="60">
        <v>1</v>
      </c>
      <c r="H7" s="369" t="s">
        <v>52</v>
      </c>
      <c r="I7" s="370"/>
      <c r="J7" s="370"/>
      <c r="K7" s="370"/>
      <c r="L7" s="370"/>
      <c r="M7" s="371"/>
      <c r="N7" s="372" t="s">
        <v>53</v>
      </c>
      <c r="O7" s="361"/>
      <c r="P7" s="361"/>
      <c r="Q7" s="361"/>
      <c r="R7" s="361"/>
      <c r="S7" s="362"/>
      <c r="T7" s="25"/>
      <c r="U7" s="373" t="s">
        <v>54</v>
      </c>
      <c r="V7" s="51" t="s">
        <v>55</v>
      </c>
      <c r="W7" s="41"/>
      <c r="X7" s="52">
        <v>3</v>
      </c>
      <c r="Y7" s="52" t="str">
        <f t="shared" si="0"/>
        <v>0003</v>
      </c>
      <c r="Z7" s="58" t="s">
        <v>56</v>
      </c>
    </row>
    <row r="8" spans="1:26">
      <c r="A8" s="26"/>
      <c r="B8" s="54">
        <v>4</v>
      </c>
      <c r="C8" s="61" t="s">
        <v>57</v>
      </c>
      <c r="D8" s="62">
        <v>0</v>
      </c>
      <c r="E8" s="47">
        <v>1</v>
      </c>
      <c r="F8" s="47">
        <v>0</v>
      </c>
      <c r="G8" s="60">
        <v>0</v>
      </c>
      <c r="H8" s="372" t="s">
        <v>52</v>
      </c>
      <c r="I8" s="361"/>
      <c r="J8" s="361"/>
      <c r="K8" s="361"/>
      <c r="L8" s="361"/>
      <c r="M8" s="376"/>
      <c r="N8" s="372" t="s">
        <v>53</v>
      </c>
      <c r="O8" s="361"/>
      <c r="P8" s="361"/>
      <c r="Q8" s="361"/>
      <c r="R8" s="361"/>
      <c r="S8" s="362"/>
      <c r="T8" s="25"/>
      <c r="U8" s="374"/>
      <c r="V8" s="51" t="s">
        <v>58</v>
      </c>
      <c r="W8" s="41"/>
      <c r="X8" s="52">
        <v>4</v>
      </c>
      <c r="Y8" s="52" t="str">
        <f t="shared" si="0"/>
        <v>0004</v>
      </c>
      <c r="Z8" s="53" t="s">
        <v>59</v>
      </c>
    </row>
    <row r="9" spans="1:26">
      <c r="A9" s="26"/>
      <c r="B9" s="54">
        <v>5</v>
      </c>
      <c r="C9" s="61" t="s">
        <v>60</v>
      </c>
      <c r="D9" s="62">
        <v>0</v>
      </c>
      <c r="E9" s="47">
        <v>1</v>
      </c>
      <c r="F9" s="47">
        <v>0</v>
      </c>
      <c r="G9" s="60">
        <v>1</v>
      </c>
      <c r="H9" s="372" t="s">
        <v>52</v>
      </c>
      <c r="I9" s="361"/>
      <c r="J9" s="361"/>
      <c r="K9" s="361"/>
      <c r="L9" s="361"/>
      <c r="M9" s="376"/>
      <c r="N9" s="372" t="s">
        <v>53</v>
      </c>
      <c r="O9" s="361"/>
      <c r="P9" s="361"/>
      <c r="Q9" s="361"/>
      <c r="R9" s="361"/>
      <c r="S9" s="362"/>
      <c r="T9" s="25"/>
      <c r="U9" s="375"/>
      <c r="V9" s="51" t="s">
        <v>61</v>
      </c>
      <c r="W9" s="41"/>
      <c r="X9" s="52">
        <v>5</v>
      </c>
      <c r="Y9" s="52" t="str">
        <f t="shared" si="0"/>
        <v>0005</v>
      </c>
      <c r="Z9" s="53" t="s">
        <v>62</v>
      </c>
    </row>
    <row r="10" spans="1:26">
      <c r="A10" s="26"/>
      <c r="B10" s="54">
        <v>6</v>
      </c>
      <c r="C10" s="63" t="s">
        <v>63</v>
      </c>
      <c r="D10" s="62">
        <v>0</v>
      </c>
      <c r="E10" s="47">
        <v>1</v>
      </c>
      <c r="F10" s="47">
        <v>1</v>
      </c>
      <c r="G10" s="60">
        <v>0</v>
      </c>
      <c r="H10" s="380" t="s">
        <v>64</v>
      </c>
      <c r="I10" s="381"/>
      <c r="J10" s="381"/>
      <c r="K10" s="381"/>
      <c r="L10" s="381"/>
      <c r="M10" s="382"/>
      <c r="N10" s="380" t="s">
        <v>65</v>
      </c>
      <c r="O10" s="381"/>
      <c r="P10" s="381"/>
      <c r="Q10" s="381"/>
      <c r="R10" s="381"/>
      <c r="S10" s="383"/>
      <c r="T10" s="25"/>
      <c r="U10" s="51" t="s">
        <v>66</v>
      </c>
      <c r="V10" s="64" t="s">
        <v>67</v>
      </c>
      <c r="W10" s="41"/>
      <c r="X10" s="52">
        <v>6</v>
      </c>
      <c r="Y10" s="52" t="str">
        <f t="shared" si="0"/>
        <v>0006</v>
      </c>
      <c r="Z10" s="58" t="s">
        <v>68</v>
      </c>
    </row>
    <row r="11" spans="1:26">
      <c r="A11" s="26"/>
      <c r="B11" s="65">
        <v>7</v>
      </c>
      <c r="C11" s="66" t="s">
        <v>69</v>
      </c>
      <c r="D11" s="46">
        <v>0</v>
      </c>
      <c r="E11" s="47">
        <v>1</v>
      </c>
      <c r="F11" s="47">
        <v>1</v>
      </c>
      <c r="G11" s="47">
        <v>1</v>
      </c>
      <c r="H11" s="67" t="s">
        <v>70</v>
      </c>
      <c r="I11" s="67" t="s">
        <v>71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25"/>
      <c r="U11" s="51" t="s">
        <v>72</v>
      </c>
      <c r="V11" s="51" t="s">
        <v>73</v>
      </c>
      <c r="W11" s="41"/>
      <c r="X11" s="52">
        <v>7</v>
      </c>
      <c r="Y11" s="52" t="str">
        <f t="shared" si="0"/>
        <v>0007</v>
      </c>
      <c r="Z11" s="68" t="s">
        <v>74</v>
      </c>
    </row>
    <row r="12" spans="1:26">
      <c r="A12" s="26"/>
      <c r="B12" s="54">
        <v>8</v>
      </c>
      <c r="C12" s="55" t="s">
        <v>75</v>
      </c>
      <c r="D12" s="46">
        <v>1</v>
      </c>
      <c r="E12" s="47">
        <v>0</v>
      </c>
      <c r="F12" s="47">
        <v>0</v>
      </c>
      <c r="G12" s="60">
        <v>0</v>
      </c>
      <c r="H12" s="69" t="s">
        <v>71</v>
      </c>
      <c r="I12" s="384" t="s">
        <v>76</v>
      </c>
      <c r="J12" s="385"/>
      <c r="K12" s="385"/>
      <c r="L12" s="385"/>
      <c r="M12" s="385"/>
      <c r="N12" s="385"/>
      <c r="O12" s="385"/>
      <c r="P12" s="385"/>
      <c r="Q12" s="385"/>
      <c r="R12" s="385"/>
      <c r="S12" s="386"/>
      <c r="T12" s="25"/>
      <c r="U12" s="51" t="s">
        <v>77</v>
      </c>
      <c r="V12" s="64"/>
      <c r="W12" s="41"/>
      <c r="X12" s="52">
        <v>8</v>
      </c>
      <c r="Y12" s="52" t="str">
        <f t="shared" si="0"/>
        <v>0008</v>
      </c>
      <c r="Z12" s="53" t="s">
        <v>78</v>
      </c>
    </row>
    <row r="13" spans="1:26">
      <c r="A13" s="26"/>
      <c r="B13" s="54">
        <v>9</v>
      </c>
      <c r="C13" s="55" t="s">
        <v>79</v>
      </c>
      <c r="D13" s="46">
        <v>1</v>
      </c>
      <c r="E13" s="47">
        <v>0</v>
      </c>
      <c r="F13" s="47">
        <v>0</v>
      </c>
      <c r="G13" s="47">
        <v>1</v>
      </c>
      <c r="H13" s="70" t="s">
        <v>80</v>
      </c>
      <c r="I13" s="70"/>
      <c r="J13" s="70"/>
      <c r="K13" s="70"/>
      <c r="L13" s="70"/>
      <c r="M13" s="70"/>
      <c r="N13" s="361" t="s">
        <v>81</v>
      </c>
      <c r="O13" s="361"/>
      <c r="P13" s="361"/>
      <c r="Q13" s="361"/>
      <c r="R13" s="361"/>
      <c r="S13" s="362"/>
      <c r="T13" s="25"/>
      <c r="U13" s="51" t="s">
        <v>82</v>
      </c>
      <c r="V13" s="51"/>
      <c r="W13" s="41"/>
      <c r="X13" s="52">
        <v>9</v>
      </c>
      <c r="Y13" s="52" t="str">
        <f t="shared" si="0"/>
        <v>0009</v>
      </c>
      <c r="Z13" s="58" t="s">
        <v>83</v>
      </c>
    </row>
    <row r="14" spans="1:26">
      <c r="A14" s="26"/>
      <c r="B14" s="54">
        <v>10</v>
      </c>
      <c r="C14" s="55" t="s">
        <v>84</v>
      </c>
      <c r="D14" s="46">
        <v>1</v>
      </c>
      <c r="E14" s="47">
        <v>0</v>
      </c>
      <c r="F14" s="47">
        <v>1</v>
      </c>
      <c r="G14" s="60">
        <v>0</v>
      </c>
      <c r="H14" s="369" t="s">
        <v>85</v>
      </c>
      <c r="I14" s="370"/>
      <c r="J14" s="370"/>
      <c r="K14" s="370"/>
      <c r="L14" s="370"/>
      <c r="M14" s="370"/>
      <c r="N14" s="361"/>
      <c r="O14" s="361"/>
      <c r="P14" s="361"/>
      <c r="Q14" s="361"/>
      <c r="R14" s="361"/>
      <c r="S14" s="362"/>
      <c r="T14" s="25"/>
      <c r="U14" s="51" t="s">
        <v>86</v>
      </c>
      <c r="V14" s="51"/>
      <c r="W14" s="41"/>
      <c r="X14" s="52">
        <v>10</v>
      </c>
      <c r="Y14" s="52" t="str">
        <f t="shared" si="0"/>
        <v>000A</v>
      </c>
      <c r="Z14" s="71" t="s">
        <v>87</v>
      </c>
    </row>
    <row r="15" spans="1:26">
      <c r="A15" s="26"/>
      <c r="B15" s="54">
        <v>11</v>
      </c>
      <c r="C15" s="55" t="s">
        <v>88</v>
      </c>
      <c r="D15" s="46">
        <v>1</v>
      </c>
      <c r="E15" s="47">
        <v>0</v>
      </c>
      <c r="F15" s="47">
        <v>1</v>
      </c>
      <c r="G15" s="60">
        <v>1</v>
      </c>
      <c r="H15" s="372" t="s">
        <v>85</v>
      </c>
      <c r="I15" s="361"/>
      <c r="J15" s="361"/>
      <c r="K15" s="361"/>
      <c r="L15" s="361"/>
      <c r="M15" s="361"/>
      <c r="N15" s="361"/>
      <c r="O15" s="361"/>
      <c r="P15" s="361"/>
      <c r="Q15" s="361"/>
      <c r="R15" s="361"/>
      <c r="S15" s="362"/>
      <c r="T15" s="25"/>
      <c r="U15" s="51" t="s">
        <v>89</v>
      </c>
      <c r="V15" s="51"/>
      <c r="W15" s="41"/>
      <c r="X15" s="52">
        <v>11</v>
      </c>
      <c r="Y15" s="52" t="str">
        <f t="shared" si="0"/>
        <v>000B</v>
      </c>
      <c r="Z15" s="53" t="s">
        <v>90</v>
      </c>
    </row>
    <row r="16" spans="1:26">
      <c r="A16" s="26"/>
      <c r="B16" s="54">
        <v>12</v>
      </c>
      <c r="C16" s="55" t="s">
        <v>91</v>
      </c>
      <c r="D16" s="46">
        <v>1</v>
      </c>
      <c r="E16" s="47">
        <v>1</v>
      </c>
      <c r="F16" s="47">
        <v>0</v>
      </c>
      <c r="G16" s="60">
        <v>0</v>
      </c>
      <c r="H16" s="372" t="s">
        <v>92</v>
      </c>
      <c r="I16" s="361"/>
      <c r="J16" s="361"/>
      <c r="K16" s="361"/>
      <c r="L16" s="361"/>
      <c r="M16" s="361"/>
      <c r="N16" s="361"/>
      <c r="O16" s="361"/>
      <c r="P16" s="361"/>
      <c r="Q16" s="361"/>
      <c r="R16" s="361"/>
      <c r="S16" s="362"/>
      <c r="T16" s="25"/>
      <c r="U16" s="51" t="s">
        <v>93</v>
      </c>
      <c r="V16" s="51"/>
      <c r="W16" s="41"/>
      <c r="X16" s="52">
        <v>12</v>
      </c>
      <c r="Y16" s="52" t="str">
        <f t="shared" si="0"/>
        <v>000C</v>
      </c>
      <c r="Z16" s="58" t="s">
        <v>94</v>
      </c>
    </row>
    <row r="17" spans="1:26">
      <c r="A17" s="26"/>
      <c r="B17" s="54">
        <v>13</v>
      </c>
      <c r="C17" s="55" t="s">
        <v>95</v>
      </c>
      <c r="D17" s="46">
        <v>1</v>
      </c>
      <c r="E17" s="47">
        <v>1</v>
      </c>
      <c r="F17" s="47">
        <v>0</v>
      </c>
      <c r="G17" s="60">
        <v>1</v>
      </c>
      <c r="H17" s="372" t="s">
        <v>85</v>
      </c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2"/>
      <c r="T17" s="25"/>
      <c r="U17" s="51" t="s">
        <v>96</v>
      </c>
      <c r="V17" s="51"/>
      <c r="W17" s="41"/>
      <c r="X17" s="52">
        <v>13</v>
      </c>
      <c r="Y17" s="52" t="str">
        <f t="shared" si="0"/>
        <v>000D</v>
      </c>
      <c r="Z17" s="72" t="s">
        <v>97</v>
      </c>
    </row>
    <row r="18" spans="1:26">
      <c r="A18" s="26"/>
      <c r="B18" s="54">
        <v>14</v>
      </c>
      <c r="C18" s="55" t="s">
        <v>98</v>
      </c>
      <c r="D18" s="46">
        <v>1</v>
      </c>
      <c r="E18" s="47">
        <v>1</v>
      </c>
      <c r="F18" s="47">
        <v>1</v>
      </c>
      <c r="G18" s="60">
        <v>0</v>
      </c>
      <c r="H18" s="372" t="s">
        <v>99</v>
      </c>
      <c r="I18" s="361"/>
      <c r="J18" s="361"/>
      <c r="K18" s="361"/>
      <c r="L18" s="361"/>
      <c r="M18" s="376"/>
      <c r="N18" s="377" t="s">
        <v>100</v>
      </c>
      <c r="O18" s="378"/>
      <c r="P18" s="378"/>
      <c r="Q18" s="378"/>
      <c r="R18" s="378"/>
      <c r="S18" s="379"/>
      <c r="T18" s="25"/>
      <c r="U18" s="51" t="s">
        <v>101</v>
      </c>
      <c r="V18" s="51"/>
      <c r="W18" s="73"/>
      <c r="X18" s="52">
        <v>14</v>
      </c>
      <c r="Y18" s="52" t="str">
        <f t="shared" si="0"/>
        <v>000E</v>
      </c>
      <c r="Z18" s="58" t="s">
        <v>102</v>
      </c>
    </row>
    <row r="19" spans="1:26" ht="17.25" thickBot="1">
      <c r="A19" s="26"/>
      <c r="B19" s="74">
        <v>15</v>
      </c>
      <c r="C19" s="75" t="s">
        <v>103</v>
      </c>
      <c r="D19" s="76">
        <v>1</v>
      </c>
      <c r="E19" s="77">
        <v>1</v>
      </c>
      <c r="F19" s="77">
        <v>1</v>
      </c>
      <c r="G19" s="78">
        <v>1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  <c r="T19" s="25"/>
      <c r="U19" s="81" t="s">
        <v>104</v>
      </c>
      <c r="V19" s="81"/>
      <c r="W19" s="73"/>
      <c r="X19" s="52">
        <v>15</v>
      </c>
      <c r="Y19" s="52" t="str">
        <f t="shared" si="0"/>
        <v>000F</v>
      </c>
      <c r="Z19" s="42" t="s">
        <v>105</v>
      </c>
    </row>
    <row r="20" spans="1:26">
      <c r="C20" s="23"/>
      <c r="X20" s="52">
        <v>16</v>
      </c>
      <c r="Y20" s="52" t="str">
        <f t="shared" si="0"/>
        <v>0010</v>
      </c>
      <c r="Z20" s="53" t="s">
        <v>106</v>
      </c>
    </row>
    <row r="21" spans="1:26">
      <c r="C21" s="23"/>
      <c r="X21" s="52">
        <v>17</v>
      </c>
      <c r="Y21" s="52" t="str">
        <f t="shared" si="0"/>
        <v>0011</v>
      </c>
      <c r="Z21" s="53" t="s">
        <v>107</v>
      </c>
    </row>
    <row r="22" spans="1:26">
      <c r="C22" s="23"/>
      <c r="X22" s="52">
        <v>18</v>
      </c>
      <c r="Y22" s="52" t="str">
        <f t="shared" si="0"/>
        <v>0012</v>
      </c>
      <c r="Z22" s="53" t="s">
        <v>108</v>
      </c>
    </row>
    <row r="23" spans="1:26">
      <c r="C23" s="23"/>
      <c r="X23" s="52">
        <v>19</v>
      </c>
      <c r="Y23" s="52" t="str">
        <f t="shared" si="0"/>
        <v>0013</v>
      </c>
      <c r="Z23" s="53" t="s">
        <v>109</v>
      </c>
    </row>
    <row r="24" spans="1:26">
      <c r="C24" s="23"/>
      <c r="X24" s="52">
        <v>20</v>
      </c>
      <c r="Y24" s="52" t="str">
        <f t="shared" si="0"/>
        <v>0014</v>
      </c>
      <c r="Z24" s="53" t="s">
        <v>110</v>
      </c>
    </row>
    <row r="25" spans="1:26">
      <c r="C25" s="23"/>
      <c r="X25" s="52">
        <v>21</v>
      </c>
      <c r="Y25" s="52" t="str">
        <f t="shared" si="0"/>
        <v>0015</v>
      </c>
      <c r="Z25" s="53" t="s">
        <v>111</v>
      </c>
    </row>
    <row r="26" spans="1:26">
      <c r="C26" s="23"/>
      <c r="X26" s="52">
        <v>22</v>
      </c>
      <c r="Y26" s="52" t="str">
        <f t="shared" si="0"/>
        <v>0016</v>
      </c>
      <c r="Z26" s="53" t="s">
        <v>112</v>
      </c>
    </row>
    <row r="27" spans="1:26">
      <c r="C27" s="23"/>
      <c r="X27" s="82">
        <v>23</v>
      </c>
      <c r="Y27" s="82" t="str">
        <f t="shared" si="0"/>
        <v>0017</v>
      </c>
      <c r="Z27" s="83" t="s">
        <v>113</v>
      </c>
    </row>
    <row r="28" spans="1:26">
      <c r="C28" s="23"/>
      <c r="X28" s="52">
        <v>24</v>
      </c>
      <c r="Y28" s="42" t="str">
        <f t="shared" si="0"/>
        <v>0018</v>
      </c>
      <c r="Z28" s="43" t="s">
        <v>114</v>
      </c>
    </row>
    <row r="29" spans="1:26">
      <c r="C29" s="23"/>
      <c r="X29" s="82">
        <v>25</v>
      </c>
      <c r="Y29" s="52" t="str">
        <f t="shared" si="0"/>
        <v>0019</v>
      </c>
      <c r="Z29" s="53" t="s">
        <v>115</v>
      </c>
    </row>
    <row r="30" spans="1:26">
      <c r="C30" s="23"/>
      <c r="X30" s="52">
        <v>26</v>
      </c>
      <c r="Y30" s="52" t="str">
        <f t="shared" si="0"/>
        <v>001A</v>
      </c>
      <c r="Z30" s="53" t="s">
        <v>118</v>
      </c>
    </row>
    <row r="31" spans="1:26">
      <c r="C31" s="23"/>
      <c r="X31" s="82">
        <v>27</v>
      </c>
      <c r="Y31" s="52" t="str">
        <f>DEC2HEX(X31,4)</f>
        <v>001B</v>
      </c>
      <c r="Z31" s="53" t="s">
        <v>116</v>
      </c>
    </row>
    <row r="32" spans="1:26">
      <c r="C32" s="23"/>
      <c r="X32" s="52">
        <v>28</v>
      </c>
      <c r="Y32" s="52" t="str">
        <f>DEC2HEX(X32,4)</f>
        <v>001C</v>
      </c>
      <c r="Z32" s="53" t="s">
        <v>119</v>
      </c>
    </row>
    <row r="33" spans="3:26">
      <c r="C33" s="23"/>
      <c r="X33" s="82">
        <v>29</v>
      </c>
      <c r="Y33" s="52" t="str">
        <f t="shared" si="0"/>
        <v>001D</v>
      </c>
      <c r="Z33" s="53" t="s">
        <v>120</v>
      </c>
    </row>
    <row r="34" spans="3:26" ht="17.25" thickBot="1">
      <c r="C34" s="23"/>
      <c r="X34" s="84">
        <v>30</v>
      </c>
      <c r="Y34" s="84" t="str">
        <f t="shared" si="0"/>
        <v>001E</v>
      </c>
      <c r="Z34" s="85" t="s">
        <v>117</v>
      </c>
    </row>
    <row r="35" spans="3:26">
      <c r="C35" s="23"/>
    </row>
    <row r="36" spans="3:26">
      <c r="C36" s="23"/>
    </row>
  </sheetData>
  <mergeCells count="23">
    <mergeCell ref="H16:S16"/>
    <mergeCell ref="H17:S17"/>
    <mergeCell ref="H18:M18"/>
    <mergeCell ref="N18:S18"/>
    <mergeCell ref="H10:M10"/>
    <mergeCell ref="N10:S10"/>
    <mergeCell ref="I12:S12"/>
    <mergeCell ref="N13:S13"/>
    <mergeCell ref="H14:S14"/>
    <mergeCell ref="H15:S15"/>
    <mergeCell ref="H7:M7"/>
    <mergeCell ref="N7:S7"/>
    <mergeCell ref="U7:U9"/>
    <mergeCell ref="H8:M8"/>
    <mergeCell ref="N8:S8"/>
    <mergeCell ref="H9:M9"/>
    <mergeCell ref="N9:S9"/>
    <mergeCell ref="N6:S6"/>
    <mergeCell ref="C2:S2"/>
    <mergeCell ref="U2:V2"/>
    <mergeCell ref="X2:Z2"/>
    <mergeCell ref="H4:S4"/>
    <mergeCell ref="N5:S5"/>
  </mergeCells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>
      <selection activeCell="A20" sqref="A20:XFD34"/>
    </sheetView>
  </sheetViews>
  <sheetFormatPr defaultRowHeight="16.5"/>
  <cols>
    <col min="3" max="3" width="20.375" bestFit="1" customWidth="1"/>
    <col min="4" max="4" width="10.875" bestFit="1" customWidth="1"/>
    <col min="5" max="5" width="12.125" bestFit="1" customWidth="1"/>
    <col min="8" max="8" width="9.5" bestFit="1" customWidth="1"/>
    <col min="9" max="10" width="11.625" bestFit="1" customWidth="1"/>
    <col min="11" max="12" width="9.25" bestFit="1" customWidth="1"/>
    <col min="14" max="14" width="9.5" bestFit="1" customWidth="1"/>
    <col min="17" max="17" width="11.625" bestFit="1" customWidth="1"/>
    <col min="22" max="22" width="13.125" bestFit="1" customWidth="1"/>
  </cols>
  <sheetData>
    <row r="1" spans="1:13">
      <c r="B1">
        <v>75</v>
      </c>
      <c r="C1" t="s">
        <v>147</v>
      </c>
      <c r="F1" t="s">
        <v>148</v>
      </c>
      <c r="G1" s="94" t="s">
        <v>149</v>
      </c>
    </row>
    <row r="2" spans="1:13">
      <c r="A2" t="str">
        <f t="shared" ref="A2:A17" si="0">DEC2HEX(B2)</f>
        <v>0</v>
      </c>
      <c r="B2">
        <v>0</v>
      </c>
      <c r="C2" s="114">
        <v>64</v>
      </c>
      <c r="D2">
        <f t="shared" ref="D2:D17" si="1">1/C2</f>
        <v>1.5625E-2</v>
      </c>
      <c r="E2">
        <f>D2*128*2</f>
        <v>4</v>
      </c>
      <c r="F2">
        <f>1/E2</f>
        <v>0.25</v>
      </c>
      <c r="G2">
        <f t="shared" ref="G2:G17" si="2">F2*1000</f>
        <v>250</v>
      </c>
      <c r="H2" s="94">
        <v>64000</v>
      </c>
      <c r="I2" s="123">
        <f t="shared" ref="I2:I7" si="3">H2/G2</f>
        <v>256</v>
      </c>
    </row>
    <row r="3" spans="1:13">
      <c r="A3" s="123" t="str">
        <f t="shared" si="0"/>
        <v>1</v>
      </c>
      <c r="B3">
        <v>1</v>
      </c>
      <c r="C3" s="114">
        <f>64/((B3)*2)</f>
        <v>32</v>
      </c>
      <c r="D3" s="94">
        <f t="shared" si="1"/>
        <v>3.125E-2</v>
      </c>
      <c r="E3" s="94">
        <f t="shared" ref="E3:E17" si="4">D3*128*2</f>
        <v>8</v>
      </c>
      <c r="F3" s="94">
        <f t="shared" ref="F3:F17" si="5">1/E3</f>
        <v>0.125</v>
      </c>
      <c r="G3" s="94">
        <f t="shared" si="2"/>
        <v>125</v>
      </c>
      <c r="H3" s="94">
        <v>64000</v>
      </c>
      <c r="I3" s="123">
        <f t="shared" si="3"/>
        <v>512</v>
      </c>
    </row>
    <row r="4" spans="1:13">
      <c r="A4" s="123" t="str">
        <f t="shared" si="0"/>
        <v>2</v>
      </c>
      <c r="B4" s="94">
        <v>2</v>
      </c>
      <c r="C4" s="114">
        <f t="shared" ref="C4:C17" si="6">64/((B4)*2)</f>
        <v>16</v>
      </c>
      <c r="D4" s="94">
        <f t="shared" si="1"/>
        <v>6.25E-2</v>
      </c>
      <c r="E4" s="94">
        <f t="shared" si="4"/>
        <v>16</v>
      </c>
      <c r="F4" s="94">
        <f t="shared" si="5"/>
        <v>6.25E-2</v>
      </c>
      <c r="G4" s="94">
        <f t="shared" si="2"/>
        <v>62.5</v>
      </c>
      <c r="H4" s="94">
        <v>64000</v>
      </c>
      <c r="I4" s="123">
        <f t="shared" si="3"/>
        <v>1024</v>
      </c>
    </row>
    <row r="5" spans="1:13">
      <c r="A5" s="123" t="str">
        <f t="shared" si="0"/>
        <v>3</v>
      </c>
      <c r="B5" s="94">
        <v>3</v>
      </c>
      <c r="C5" s="114">
        <f t="shared" si="6"/>
        <v>10.666666666666666</v>
      </c>
      <c r="D5" s="94">
        <f t="shared" si="1"/>
        <v>9.375E-2</v>
      </c>
      <c r="E5" s="94">
        <f t="shared" si="4"/>
        <v>24</v>
      </c>
      <c r="F5" s="94">
        <f t="shared" si="5"/>
        <v>4.1666666666666664E-2</v>
      </c>
      <c r="G5" s="94">
        <f t="shared" si="2"/>
        <v>41.666666666666664</v>
      </c>
      <c r="H5" s="94">
        <v>64000</v>
      </c>
      <c r="I5" s="123">
        <f t="shared" si="3"/>
        <v>1536</v>
      </c>
      <c r="K5" s="94"/>
    </row>
    <row r="6" spans="1:13">
      <c r="A6" s="123" t="str">
        <f t="shared" si="0"/>
        <v>4</v>
      </c>
      <c r="B6" s="94">
        <v>4</v>
      </c>
      <c r="C6" s="114">
        <f t="shared" si="6"/>
        <v>8</v>
      </c>
      <c r="D6" s="94">
        <f t="shared" si="1"/>
        <v>0.125</v>
      </c>
      <c r="E6" s="94">
        <f t="shared" si="4"/>
        <v>32</v>
      </c>
      <c r="F6" s="94">
        <f t="shared" si="5"/>
        <v>3.125E-2</v>
      </c>
      <c r="G6" s="94">
        <f t="shared" si="2"/>
        <v>31.25</v>
      </c>
      <c r="H6">
        <v>64000</v>
      </c>
      <c r="I6">
        <f t="shared" si="3"/>
        <v>2048</v>
      </c>
      <c r="K6" s="94"/>
    </row>
    <row r="7" spans="1:13">
      <c r="A7" s="123" t="str">
        <f t="shared" si="0"/>
        <v>5</v>
      </c>
      <c r="B7" s="94">
        <v>5</v>
      </c>
      <c r="C7" s="114">
        <f t="shared" si="6"/>
        <v>6.4</v>
      </c>
      <c r="D7" s="94">
        <f t="shared" si="1"/>
        <v>0.15625</v>
      </c>
      <c r="E7" s="94">
        <f t="shared" si="4"/>
        <v>40</v>
      </c>
      <c r="F7" s="94">
        <f t="shared" si="5"/>
        <v>2.5000000000000001E-2</v>
      </c>
      <c r="G7" s="94">
        <f t="shared" si="2"/>
        <v>25</v>
      </c>
      <c r="H7" s="94">
        <v>64000</v>
      </c>
      <c r="I7" s="94">
        <f t="shared" si="3"/>
        <v>2560</v>
      </c>
      <c r="K7" s="123"/>
      <c r="L7" s="123"/>
    </row>
    <row r="8" spans="1:13">
      <c r="A8" s="123" t="str">
        <f t="shared" si="0"/>
        <v>6</v>
      </c>
      <c r="B8" s="94">
        <v>6</v>
      </c>
      <c r="C8" s="114">
        <f t="shared" si="6"/>
        <v>5.333333333333333</v>
      </c>
      <c r="D8" s="94">
        <f t="shared" si="1"/>
        <v>0.1875</v>
      </c>
      <c r="E8" s="94">
        <f t="shared" si="4"/>
        <v>48</v>
      </c>
      <c r="F8" s="94">
        <f t="shared" si="5"/>
        <v>2.0833333333333332E-2</v>
      </c>
      <c r="G8" s="94">
        <f t="shared" si="2"/>
        <v>20.833333333333332</v>
      </c>
      <c r="H8" s="94">
        <v>64000</v>
      </c>
      <c r="I8" s="94">
        <f t="shared" ref="I8:I17" si="7">H8/G8</f>
        <v>3072</v>
      </c>
      <c r="J8" s="123"/>
      <c r="M8" s="123"/>
    </row>
    <row r="9" spans="1:13">
      <c r="A9" s="123" t="str">
        <f t="shared" si="0"/>
        <v>7</v>
      </c>
      <c r="B9" s="94">
        <v>7</v>
      </c>
      <c r="C9" s="114">
        <f t="shared" si="6"/>
        <v>4.5714285714285712</v>
      </c>
      <c r="D9" s="94">
        <f t="shared" si="1"/>
        <v>0.21875</v>
      </c>
      <c r="E9" s="94">
        <f t="shared" si="4"/>
        <v>56</v>
      </c>
      <c r="F9" s="94">
        <f t="shared" si="5"/>
        <v>1.7857142857142856E-2</v>
      </c>
      <c r="G9" s="94">
        <f t="shared" si="2"/>
        <v>17.857142857142858</v>
      </c>
      <c r="H9" s="94">
        <v>64000</v>
      </c>
      <c r="I9" s="94">
        <f t="shared" si="7"/>
        <v>3584</v>
      </c>
      <c r="J9" s="123"/>
      <c r="K9" s="123"/>
      <c r="L9" s="123"/>
      <c r="M9" s="123"/>
    </row>
    <row r="10" spans="1:13">
      <c r="A10" s="123" t="str">
        <f t="shared" si="0"/>
        <v>8</v>
      </c>
      <c r="B10" s="94">
        <v>8</v>
      </c>
      <c r="C10" s="114">
        <f t="shared" si="6"/>
        <v>4</v>
      </c>
      <c r="D10" s="94">
        <f t="shared" si="1"/>
        <v>0.25</v>
      </c>
      <c r="E10" s="94">
        <f t="shared" si="4"/>
        <v>64</v>
      </c>
      <c r="F10" s="94">
        <f t="shared" si="5"/>
        <v>1.5625E-2</v>
      </c>
      <c r="G10" s="94">
        <f t="shared" si="2"/>
        <v>15.625</v>
      </c>
      <c r="H10" s="94">
        <v>64000</v>
      </c>
      <c r="I10" s="94">
        <f t="shared" si="7"/>
        <v>4096</v>
      </c>
      <c r="J10" s="123"/>
      <c r="K10" s="123"/>
      <c r="L10" s="123"/>
      <c r="M10" s="123"/>
    </row>
    <row r="11" spans="1:13">
      <c r="A11" s="123" t="str">
        <f t="shared" si="0"/>
        <v>9</v>
      </c>
      <c r="B11" s="94">
        <v>9</v>
      </c>
      <c r="C11" s="114">
        <f t="shared" si="6"/>
        <v>3.5555555555555554</v>
      </c>
      <c r="D11" s="94">
        <f t="shared" si="1"/>
        <v>0.28125</v>
      </c>
      <c r="E11" s="94">
        <f t="shared" si="4"/>
        <v>72</v>
      </c>
      <c r="F11" s="94">
        <f t="shared" si="5"/>
        <v>1.3888888888888888E-2</v>
      </c>
      <c r="G11" s="94">
        <f t="shared" si="2"/>
        <v>13.888888888888888</v>
      </c>
      <c r="H11" s="94">
        <v>64000</v>
      </c>
      <c r="I11" s="94">
        <f t="shared" si="7"/>
        <v>4608.0000000000009</v>
      </c>
      <c r="J11" s="123"/>
      <c r="K11" s="123"/>
      <c r="L11" s="123"/>
      <c r="M11" s="123"/>
    </row>
    <row r="12" spans="1:13">
      <c r="A12" s="123" t="str">
        <f t="shared" si="0"/>
        <v>A</v>
      </c>
      <c r="B12" s="94">
        <v>10</v>
      </c>
      <c r="C12" s="114">
        <f t="shared" si="6"/>
        <v>3.2</v>
      </c>
      <c r="D12" s="94">
        <f t="shared" si="1"/>
        <v>0.3125</v>
      </c>
      <c r="E12" s="94">
        <f t="shared" si="4"/>
        <v>80</v>
      </c>
      <c r="F12" s="94">
        <f t="shared" si="5"/>
        <v>1.2500000000000001E-2</v>
      </c>
      <c r="G12" s="94">
        <f t="shared" si="2"/>
        <v>12.5</v>
      </c>
      <c r="H12" s="94">
        <v>64000</v>
      </c>
      <c r="I12" s="94">
        <f t="shared" si="7"/>
        <v>5120</v>
      </c>
      <c r="J12" s="123"/>
      <c r="K12" s="123"/>
      <c r="L12" s="123"/>
      <c r="M12" s="123"/>
    </row>
    <row r="13" spans="1:13">
      <c r="A13" s="123" t="str">
        <f t="shared" si="0"/>
        <v>B</v>
      </c>
      <c r="B13" s="94">
        <v>11</v>
      </c>
      <c r="C13" s="114">
        <f t="shared" si="6"/>
        <v>2.9090909090909092</v>
      </c>
      <c r="D13" s="94">
        <f t="shared" si="1"/>
        <v>0.34375</v>
      </c>
      <c r="E13" s="94">
        <f t="shared" si="4"/>
        <v>88</v>
      </c>
      <c r="F13" s="94">
        <f t="shared" si="5"/>
        <v>1.1363636363636364E-2</v>
      </c>
      <c r="G13" s="121">
        <f t="shared" si="2"/>
        <v>11.363636363636363</v>
      </c>
      <c r="H13" s="94">
        <v>64000</v>
      </c>
      <c r="I13" s="94">
        <f t="shared" si="7"/>
        <v>5632</v>
      </c>
      <c r="J13" s="123"/>
      <c r="K13" s="123"/>
      <c r="L13" s="123"/>
      <c r="M13" s="123"/>
    </row>
    <row r="14" spans="1:13">
      <c r="A14" s="123" t="str">
        <f t="shared" si="0"/>
        <v>C</v>
      </c>
      <c r="B14" s="94">
        <v>12</v>
      </c>
      <c r="C14" s="114">
        <f t="shared" si="6"/>
        <v>2.6666666666666665</v>
      </c>
      <c r="D14" s="94">
        <f t="shared" si="1"/>
        <v>0.375</v>
      </c>
      <c r="E14" s="94">
        <f t="shared" si="4"/>
        <v>96</v>
      </c>
      <c r="F14" s="94">
        <f t="shared" si="5"/>
        <v>1.0416666666666666E-2</v>
      </c>
      <c r="G14" s="94">
        <f t="shared" si="2"/>
        <v>10.416666666666666</v>
      </c>
      <c r="H14" s="94">
        <v>64000</v>
      </c>
      <c r="I14" s="94">
        <f t="shared" si="7"/>
        <v>6144</v>
      </c>
      <c r="J14" s="123"/>
      <c r="K14" s="123"/>
      <c r="L14" s="123"/>
      <c r="M14" s="123"/>
    </row>
    <row r="15" spans="1:13">
      <c r="A15" s="123" t="str">
        <f t="shared" si="0"/>
        <v>D</v>
      </c>
      <c r="B15" s="94">
        <v>13</v>
      </c>
      <c r="C15" s="114">
        <f t="shared" si="6"/>
        <v>2.4615384615384617</v>
      </c>
      <c r="D15" s="94">
        <f t="shared" si="1"/>
        <v>0.40625</v>
      </c>
      <c r="E15" s="94">
        <f t="shared" si="4"/>
        <v>104</v>
      </c>
      <c r="F15" s="94">
        <f t="shared" si="5"/>
        <v>9.6153846153846159E-3</v>
      </c>
      <c r="G15" s="94">
        <f t="shared" si="2"/>
        <v>9.6153846153846168</v>
      </c>
      <c r="H15" s="94">
        <v>64000</v>
      </c>
      <c r="I15" s="94">
        <f t="shared" si="7"/>
        <v>6655.9999999999991</v>
      </c>
      <c r="J15" s="123"/>
      <c r="K15" s="123"/>
      <c r="L15" s="123"/>
      <c r="M15" s="123"/>
    </row>
    <row r="16" spans="1:13">
      <c r="A16" s="123" t="str">
        <f t="shared" si="0"/>
        <v>E</v>
      </c>
      <c r="B16" s="94">
        <v>14</v>
      </c>
      <c r="C16" s="114">
        <f t="shared" si="6"/>
        <v>2.2857142857142856</v>
      </c>
      <c r="D16" s="94">
        <f t="shared" si="1"/>
        <v>0.4375</v>
      </c>
      <c r="E16" s="94">
        <f t="shared" si="4"/>
        <v>112</v>
      </c>
      <c r="F16" s="94">
        <f t="shared" si="5"/>
        <v>8.9285714285714281E-3</v>
      </c>
      <c r="G16" s="94">
        <f t="shared" si="2"/>
        <v>8.9285714285714288</v>
      </c>
      <c r="H16" s="94">
        <v>64000</v>
      </c>
      <c r="I16" s="94">
        <f t="shared" si="7"/>
        <v>7168</v>
      </c>
      <c r="J16" s="123"/>
      <c r="K16" s="123"/>
      <c r="L16" s="123"/>
      <c r="M16" s="123"/>
    </row>
    <row r="17" spans="1:23">
      <c r="A17" s="123" t="str">
        <f t="shared" si="0"/>
        <v>F</v>
      </c>
      <c r="B17" s="94">
        <v>15</v>
      </c>
      <c r="C17" s="114">
        <f t="shared" si="6"/>
        <v>2.1333333333333333</v>
      </c>
      <c r="D17" s="94">
        <f t="shared" si="1"/>
        <v>0.46875</v>
      </c>
      <c r="E17" s="94">
        <f t="shared" si="4"/>
        <v>120</v>
      </c>
      <c r="F17" s="94">
        <f t="shared" si="5"/>
        <v>8.3333333333333332E-3</v>
      </c>
      <c r="G17" s="94">
        <f t="shared" si="2"/>
        <v>8.3333333333333339</v>
      </c>
      <c r="H17" s="94">
        <v>64000</v>
      </c>
      <c r="I17" s="94">
        <f t="shared" si="7"/>
        <v>7679.9999999999991</v>
      </c>
      <c r="J17" s="123"/>
      <c r="K17" s="123"/>
      <c r="L17" s="123"/>
      <c r="M17" s="123"/>
    </row>
    <row r="19" spans="1:23">
      <c r="W19" s="123"/>
    </row>
    <row r="20" spans="1:23">
      <c r="B20" s="115"/>
      <c r="C20" s="116" t="s">
        <v>150</v>
      </c>
      <c r="D20" s="116" t="s">
        <v>151</v>
      </c>
      <c r="E20" s="116" t="s">
        <v>152</v>
      </c>
      <c r="G20" s="26"/>
    </row>
    <row r="21" spans="1:23">
      <c r="B21" s="116" t="s">
        <v>153</v>
      </c>
      <c r="C21" s="125" t="s">
        <v>156</v>
      </c>
      <c r="D21" s="125" t="s">
        <v>156</v>
      </c>
      <c r="E21" s="125" t="s">
        <v>156</v>
      </c>
      <c r="G21" s="120"/>
    </row>
    <row r="22" spans="1:23">
      <c r="B22" s="116" t="s">
        <v>155</v>
      </c>
      <c r="C22" s="125" t="s">
        <v>158</v>
      </c>
      <c r="D22" s="125" t="s">
        <v>158</v>
      </c>
      <c r="E22" s="125" t="s">
        <v>158</v>
      </c>
      <c r="G22" s="120"/>
    </row>
    <row r="23" spans="1:23">
      <c r="B23" s="116" t="s">
        <v>157</v>
      </c>
      <c r="C23" s="125" t="s">
        <v>159</v>
      </c>
      <c r="D23" s="125" t="s">
        <v>159</v>
      </c>
      <c r="E23" s="125" t="s">
        <v>159</v>
      </c>
      <c r="G23" s="26"/>
      <c r="K23" s="94"/>
    </row>
    <row r="24" spans="1:23">
      <c r="B24" s="129" t="s">
        <v>179</v>
      </c>
      <c r="C24" s="127" t="s">
        <v>161</v>
      </c>
      <c r="D24" s="128" t="s">
        <v>162</v>
      </c>
      <c r="E24" s="128" t="s">
        <v>163</v>
      </c>
      <c r="H24" s="130"/>
      <c r="I24" s="130"/>
      <c r="J24" s="130"/>
      <c r="K24" s="130"/>
      <c r="L24" s="130"/>
      <c r="N24" s="130"/>
      <c r="O24" s="130"/>
      <c r="P24" s="130"/>
      <c r="Q24" s="130"/>
      <c r="R24" s="130"/>
      <c r="S24" s="130"/>
    </row>
    <row r="25" spans="1:23">
      <c r="B25" s="129" t="s">
        <v>180</v>
      </c>
      <c r="C25" s="127" t="s">
        <v>165</v>
      </c>
      <c r="D25" s="128" t="s">
        <v>166</v>
      </c>
      <c r="E25" s="125"/>
    </row>
    <row r="26" spans="1:23">
      <c r="B26" s="117" t="s">
        <v>160</v>
      </c>
      <c r="C26" s="128" t="s">
        <v>168</v>
      </c>
      <c r="D26" s="128" t="s">
        <v>169</v>
      </c>
      <c r="E26" s="125"/>
      <c r="K26" s="94"/>
      <c r="O26" s="123"/>
    </row>
    <row r="27" spans="1:23">
      <c r="B27" s="118" t="s">
        <v>164</v>
      </c>
      <c r="C27" s="128" t="s">
        <v>171</v>
      </c>
      <c r="D27" s="128" t="s">
        <v>172</v>
      </c>
      <c r="E27" s="125"/>
      <c r="O27" s="123"/>
    </row>
    <row r="28" spans="1:23">
      <c r="B28" s="118" t="s">
        <v>167</v>
      </c>
      <c r="C28" s="128" t="s">
        <v>181</v>
      </c>
      <c r="D28" s="128" t="s">
        <v>174</v>
      </c>
      <c r="E28" s="125"/>
    </row>
    <row r="29" spans="1:23">
      <c r="B29" s="118" t="s">
        <v>170</v>
      </c>
      <c r="C29" s="128"/>
      <c r="D29" s="128" t="s">
        <v>176</v>
      </c>
      <c r="E29" s="125"/>
    </row>
    <row r="30" spans="1:23">
      <c r="B30" s="126" t="s">
        <v>173</v>
      </c>
      <c r="C30" s="125" t="s">
        <v>154</v>
      </c>
      <c r="D30" s="125" t="s">
        <v>154</v>
      </c>
      <c r="E30" s="125" t="s">
        <v>154</v>
      </c>
    </row>
    <row r="31" spans="1:23">
      <c r="B31" s="126" t="s">
        <v>175</v>
      </c>
      <c r="C31" s="125" t="s">
        <v>178</v>
      </c>
      <c r="D31" s="125" t="s">
        <v>178</v>
      </c>
      <c r="E31" s="125" t="s">
        <v>178</v>
      </c>
    </row>
    <row r="32" spans="1:23">
      <c r="B32" s="116" t="s">
        <v>177</v>
      </c>
      <c r="C32" s="115" t="s">
        <v>178</v>
      </c>
      <c r="D32" s="115" t="s">
        <v>178</v>
      </c>
      <c r="E32" s="115" t="s">
        <v>178</v>
      </c>
    </row>
    <row r="33" spans="2:7">
      <c r="B33" s="116"/>
      <c r="C33" s="115"/>
      <c r="D33" s="115"/>
      <c r="E33" s="115"/>
    </row>
    <row r="34" spans="2:7">
      <c r="B34" s="116"/>
      <c r="C34" s="115"/>
      <c r="D34" s="115"/>
      <c r="E34" s="115"/>
      <c r="F34" s="94"/>
      <c r="G34" s="94"/>
    </row>
    <row r="35" spans="2:7">
      <c r="B35" s="94"/>
      <c r="C35" s="94"/>
      <c r="D35" s="94"/>
      <c r="E35" s="94"/>
    </row>
    <row r="36" spans="2:7">
      <c r="B36" s="94"/>
      <c r="C36" s="94"/>
      <c r="D36" s="94"/>
      <c r="E36" s="94"/>
    </row>
    <row r="37" spans="2:7">
      <c r="B37" s="119"/>
      <c r="C37" s="94"/>
      <c r="D37" s="94"/>
      <c r="E37" s="120"/>
    </row>
    <row r="38" spans="2:7">
      <c r="B38" s="121"/>
      <c r="C38" s="94"/>
      <c r="D38" s="94"/>
      <c r="E38" s="120"/>
    </row>
    <row r="39" spans="2:7">
      <c r="B39" s="122"/>
      <c r="C39" s="94"/>
      <c r="D39" s="94"/>
      <c r="E39" s="120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REG_BANK_0</vt:lpstr>
      <vt:lpstr>REG_BANK_1</vt:lpstr>
      <vt:lpstr>REG_BANK_2</vt:lpstr>
      <vt:lpstr>REG_BANK_3</vt:lpstr>
      <vt:lpstr>ACU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KimCheolHoe</dc:creator>
  <cp:lastModifiedBy>Pyo Hyun</cp:lastModifiedBy>
  <cp:lastPrinted>2022-02-24T00:40:22Z</cp:lastPrinted>
  <dcterms:created xsi:type="dcterms:W3CDTF">2016-01-06T08:46:37Z</dcterms:created>
  <dcterms:modified xsi:type="dcterms:W3CDTF">2025-12-09T03:22:10Z</dcterms:modified>
</cp:coreProperties>
</file>